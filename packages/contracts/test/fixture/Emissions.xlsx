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xr:revisionPtr revIDLastSave="0" documentId="8_{B52B8BC7-6A27-4EB3-AF12-C9A43C7C5F9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oken Releasing Plan" sheetId="1" r:id="rId1"/>
    <sheet name="X-Apps Qualifications" sheetId="3" r:id="rId2"/>
    <sheet name="Roll-out Master Plan" sheetId="2" r:id="rId3"/>
    <sheet name="Terminolog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0" i="1" l="1"/>
  <c r="C118" i="1"/>
  <c r="C68" i="1"/>
  <c r="C54" i="1"/>
  <c r="I19" i="1"/>
  <c r="C9" i="1"/>
  <c r="D652" i="1"/>
  <c r="E651" i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E29" i="1"/>
  <c r="E28" i="1"/>
  <c r="E27" i="1"/>
  <c r="E26" i="1"/>
  <c r="E25" i="1"/>
  <c r="E24" i="1"/>
  <c r="E23" i="1"/>
  <c r="E22" i="1"/>
  <c r="E21" i="1"/>
  <c r="E20" i="1"/>
  <c r="E19" i="1"/>
  <c r="C29" i="1"/>
  <c r="C28" i="1"/>
  <c r="C27" i="1"/>
  <c r="C26" i="1"/>
  <c r="C25" i="1"/>
  <c r="C24" i="1"/>
  <c r="C23" i="1"/>
  <c r="C22" i="1"/>
  <c r="C21" i="1"/>
  <c r="C20" i="1"/>
  <c r="B30" i="1"/>
  <c r="C19" i="1"/>
  <c r="F18" i="1"/>
  <c r="F17" i="1"/>
  <c r="E17" i="1"/>
  <c r="E18" i="1"/>
  <c r="C18" i="1"/>
  <c r="F11" i="3"/>
  <c r="F10" i="3"/>
  <c r="F9" i="3"/>
  <c r="F8" i="3"/>
  <c r="F7" i="3"/>
  <c r="F6" i="3"/>
  <c r="F5" i="3"/>
  <c r="B2" i="3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32" i="1"/>
  <c r="I31" i="1"/>
  <c r="I18" i="1"/>
  <c r="I20" i="1"/>
  <c r="I21" i="1"/>
  <c r="I22" i="1"/>
  <c r="I23" i="1"/>
  <c r="I24" i="1"/>
  <c r="I25" i="1"/>
  <c r="I26" i="1"/>
  <c r="I27" i="1"/>
  <c r="I28" i="1"/>
  <c r="I29" i="1"/>
  <c r="I30" i="1"/>
  <c r="C30" i="1" l="1"/>
  <c r="B31" i="1"/>
  <c r="N25" i="1"/>
  <c r="N27" i="1"/>
  <c r="N26" i="1"/>
  <c r="N28" i="1"/>
  <c r="N34" i="1"/>
  <c r="N33" i="1"/>
  <c r="N32" i="1"/>
  <c r="N31" i="1"/>
  <c r="N30" i="1"/>
  <c r="N29" i="1"/>
  <c r="C31" i="1" l="1"/>
  <c r="E31" i="1" s="1"/>
  <c r="B32" i="1"/>
  <c r="E30" i="1"/>
  <c r="F30" i="1" l="1"/>
  <c r="F31" i="1" s="1"/>
  <c r="B33" i="1"/>
  <c r="C32" i="1"/>
  <c r="E32" i="1" l="1"/>
  <c r="B34" i="1"/>
  <c r="C33" i="1"/>
  <c r="F32" i="1"/>
  <c r="E33" i="1" l="1"/>
  <c r="F33" i="1" s="1"/>
  <c r="B35" i="1"/>
  <c r="C34" i="1"/>
  <c r="E34" i="1" l="1"/>
  <c r="B36" i="1"/>
  <c r="C35" i="1"/>
  <c r="F34" i="1"/>
  <c r="E35" i="1" l="1"/>
  <c r="F35" i="1" s="1"/>
  <c r="B37" i="1"/>
  <c r="C36" i="1"/>
  <c r="E36" i="1" l="1"/>
  <c r="B38" i="1"/>
  <c r="C37" i="1"/>
  <c r="F36" i="1"/>
  <c r="E37" i="1" l="1"/>
  <c r="F37" i="1" s="1"/>
  <c r="B39" i="1"/>
  <c r="C38" i="1"/>
  <c r="E38" i="1" l="1"/>
  <c r="B40" i="1"/>
  <c r="C39" i="1"/>
  <c r="F38" i="1"/>
  <c r="E39" i="1" l="1"/>
  <c r="F39" i="1" s="1"/>
  <c r="C40" i="1"/>
  <c r="E40" i="1"/>
  <c r="B41" i="1"/>
  <c r="C41" i="1" l="1"/>
  <c r="E41" i="1"/>
  <c r="B42" i="1"/>
  <c r="F40" i="1"/>
  <c r="F41" i="1" s="1"/>
  <c r="C42" i="1" l="1"/>
  <c r="E42" i="1"/>
  <c r="B43" i="1"/>
  <c r="C43" i="1" l="1"/>
  <c r="E43" i="1"/>
  <c r="B44" i="1"/>
  <c r="F42" i="1"/>
  <c r="F43" i="1" s="1"/>
  <c r="C44" i="1" l="1"/>
  <c r="E44" i="1"/>
  <c r="B45" i="1"/>
  <c r="C45" i="1" l="1"/>
  <c r="E45" i="1"/>
  <c r="B46" i="1"/>
  <c r="F44" i="1"/>
  <c r="F45" i="1" s="1"/>
  <c r="C46" i="1" l="1"/>
  <c r="E46" i="1"/>
  <c r="B47" i="1"/>
  <c r="C47" i="1" l="1"/>
  <c r="E47" i="1"/>
  <c r="B48" i="1"/>
  <c r="F46" i="1"/>
  <c r="F47" i="1" s="1"/>
  <c r="C48" i="1" l="1"/>
  <c r="E48" i="1"/>
  <c r="B49" i="1"/>
  <c r="C49" i="1" l="1"/>
  <c r="E49" i="1"/>
  <c r="B50" i="1"/>
  <c r="F48" i="1"/>
  <c r="F49" i="1" s="1"/>
  <c r="C50" i="1" l="1"/>
  <c r="E50" i="1"/>
  <c r="B51" i="1"/>
  <c r="C51" i="1" l="1"/>
  <c r="E51" i="1"/>
  <c r="B52" i="1"/>
  <c r="F50" i="1"/>
  <c r="F51" i="1" s="1"/>
  <c r="C52" i="1" l="1"/>
  <c r="E52" i="1"/>
  <c r="B53" i="1"/>
  <c r="C53" i="1" l="1"/>
  <c r="E53" i="1"/>
  <c r="B54" i="1"/>
  <c r="F52" i="1"/>
  <c r="F53" i="1" s="1"/>
  <c r="E54" i="1" l="1"/>
  <c r="B55" i="1"/>
  <c r="C55" i="1" l="1"/>
  <c r="E55" i="1"/>
  <c r="B56" i="1"/>
  <c r="F54" i="1"/>
  <c r="F55" i="1" s="1"/>
  <c r="C56" i="1" l="1"/>
  <c r="E56" i="1"/>
  <c r="B57" i="1"/>
  <c r="C57" i="1" l="1"/>
  <c r="E57" i="1"/>
  <c r="B58" i="1"/>
  <c r="F56" i="1"/>
  <c r="F57" i="1" s="1"/>
  <c r="C58" i="1" l="1"/>
  <c r="E58" i="1"/>
  <c r="B59" i="1"/>
  <c r="C59" i="1" l="1"/>
  <c r="E59" i="1"/>
  <c r="B60" i="1"/>
  <c r="F58" i="1"/>
  <c r="F59" i="1" s="1"/>
  <c r="C60" i="1" l="1"/>
  <c r="E60" i="1"/>
  <c r="B61" i="1"/>
  <c r="C61" i="1" l="1"/>
  <c r="E61" i="1"/>
  <c r="B62" i="1"/>
  <c r="F60" i="1"/>
  <c r="F61" i="1" s="1"/>
  <c r="C62" i="1" l="1"/>
  <c r="E62" i="1"/>
  <c r="B63" i="1"/>
  <c r="C63" i="1" l="1"/>
  <c r="E63" i="1"/>
  <c r="B64" i="1"/>
  <c r="F62" i="1"/>
  <c r="F63" i="1" s="1"/>
  <c r="C64" i="1" l="1"/>
  <c r="E64" i="1"/>
  <c r="B65" i="1"/>
  <c r="C65" i="1" l="1"/>
  <c r="E65" i="1"/>
  <c r="B66" i="1"/>
  <c r="F64" i="1"/>
  <c r="F65" i="1" s="1"/>
  <c r="C66" i="1" l="1"/>
  <c r="E66" i="1"/>
  <c r="B67" i="1"/>
  <c r="C67" i="1" l="1"/>
  <c r="E67" i="1"/>
  <c r="B68" i="1"/>
  <c r="F66" i="1"/>
  <c r="F67" i="1" s="1"/>
  <c r="E68" i="1" l="1"/>
  <c r="B69" i="1"/>
  <c r="C69" i="1" l="1"/>
  <c r="E69" i="1"/>
  <c r="B70" i="1"/>
  <c r="F68" i="1"/>
  <c r="F69" i="1" s="1"/>
  <c r="C70" i="1" l="1"/>
  <c r="E70" i="1"/>
  <c r="B71" i="1"/>
  <c r="C71" i="1" l="1"/>
  <c r="E71" i="1"/>
  <c r="B72" i="1"/>
  <c r="F70" i="1"/>
  <c r="F71" i="1" s="1"/>
  <c r="C72" i="1" l="1"/>
  <c r="E72" i="1"/>
  <c r="B73" i="1"/>
  <c r="C73" i="1" l="1"/>
  <c r="E73" i="1"/>
  <c r="B74" i="1"/>
  <c r="F72" i="1"/>
  <c r="F73" i="1" s="1"/>
  <c r="C74" i="1" l="1"/>
  <c r="E74" i="1"/>
  <c r="B75" i="1"/>
  <c r="C75" i="1" l="1"/>
  <c r="E75" i="1"/>
  <c r="B76" i="1"/>
  <c r="F74" i="1"/>
  <c r="F75" i="1" s="1"/>
  <c r="C76" i="1" l="1"/>
  <c r="E76" i="1"/>
  <c r="B77" i="1"/>
  <c r="C77" i="1" l="1"/>
  <c r="E77" i="1"/>
  <c r="B78" i="1"/>
  <c r="F76" i="1"/>
  <c r="F77" i="1" s="1"/>
  <c r="C78" i="1" l="1"/>
  <c r="E78" i="1"/>
  <c r="B79" i="1"/>
  <c r="C79" i="1" l="1"/>
  <c r="E79" i="1"/>
  <c r="B80" i="1"/>
  <c r="F78" i="1"/>
  <c r="F79" i="1" s="1"/>
  <c r="C80" i="1" l="1"/>
  <c r="E80" i="1"/>
  <c r="B81" i="1"/>
  <c r="C81" i="1" l="1"/>
  <c r="E81" i="1"/>
  <c r="B82" i="1"/>
  <c r="F80" i="1"/>
  <c r="F81" i="1" s="1"/>
  <c r="C82" i="1" l="1"/>
  <c r="E82" i="1"/>
  <c r="B83" i="1"/>
  <c r="C83" i="1" l="1"/>
  <c r="E83" i="1"/>
  <c r="B84" i="1"/>
  <c r="F82" i="1"/>
  <c r="F83" i="1" s="1"/>
  <c r="C84" i="1" l="1"/>
  <c r="E84" i="1"/>
  <c r="B85" i="1"/>
  <c r="C85" i="1" l="1"/>
  <c r="E85" i="1"/>
  <c r="B86" i="1"/>
  <c r="F84" i="1"/>
  <c r="F85" i="1" s="1"/>
  <c r="C86" i="1" l="1"/>
  <c r="E86" i="1"/>
  <c r="B87" i="1"/>
  <c r="C87" i="1" l="1"/>
  <c r="E87" i="1"/>
  <c r="B88" i="1"/>
  <c r="F86" i="1"/>
  <c r="F87" i="1" s="1"/>
  <c r="C88" i="1" l="1"/>
  <c r="E88" i="1"/>
  <c r="B89" i="1"/>
  <c r="C89" i="1" l="1"/>
  <c r="E89" i="1"/>
  <c r="B90" i="1"/>
  <c r="F88" i="1"/>
  <c r="F89" i="1" s="1"/>
  <c r="C90" i="1" l="1"/>
  <c r="E90" i="1"/>
  <c r="B91" i="1"/>
  <c r="C91" i="1" l="1"/>
  <c r="E91" i="1"/>
  <c r="B92" i="1"/>
  <c r="F90" i="1"/>
  <c r="F91" i="1" s="1"/>
  <c r="C92" i="1" l="1"/>
  <c r="E92" i="1"/>
  <c r="B93" i="1"/>
  <c r="C93" i="1" l="1"/>
  <c r="E93" i="1"/>
  <c r="B94" i="1"/>
  <c r="F92" i="1"/>
  <c r="F93" i="1" s="1"/>
  <c r="C94" i="1" l="1"/>
  <c r="E94" i="1"/>
  <c r="B95" i="1"/>
  <c r="C95" i="1" l="1"/>
  <c r="E95" i="1"/>
  <c r="B96" i="1"/>
  <c r="F94" i="1"/>
  <c r="F95" i="1" s="1"/>
  <c r="C96" i="1" l="1"/>
  <c r="E96" i="1"/>
  <c r="B97" i="1"/>
  <c r="C97" i="1" l="1"/>
  <c r="E97" i="1"/>
  <c r="B98" i="1"/>
  <c r="F96" i="1"/>
  <c r="F97" i="1" s="1"/>
  <c r="C98" i="1" l="1"/>
  <c r="E98" i="1"/>
  <c r="B99" i="1"/>
  <c r="C99" i="1" l="1"/>
  <c r="E99" i="1"/>
  <c r="B100" i="1"/>
  <c r="F98" i="1"/>
  <c r="F99" i="1" s="1"/>
  <c r="C100" i="1" l="1"/>
  <c r="E100" i="1"/>
  <c r="B101" i="1"/>
  <c r="C101" i="1" l="1"/>
  <c r="E101" i="1"/>
  <c r="B102" i="1"/>
  <c r="F100" i="1"/>
  <c r="F101" i="1" s="1"/>
  <c r="C102" i="1" l="1"/>
  <c r="E102" i="1"/>
  <c r="B103" i="1"/>
  <c r="C103" i="1" l="1"/>
  <c r="E103" i="1"/>
  <c r="B104" i="1"/>
  <c r="F102" i="1"/>
  <c r="F103" i="1" s="1"/>
  <c r="C104" i="1" l="1"/>
  <c r="E104" i="1"/>
  <c r="B105" i="1"/>
  <c r="C105" i="1" l="1"/>
  <c r="E105" i="1"/>
  <c r="B106" i="1"/>
  <c r="F104" i="1"/>
  <c r="F105" i="1" s="1"/>
  <c r="C106" i="1" l="1"/>
  <c r="E106" i="1"/>
  <c r="B107" i="1"/>
  <c r="C107" i="1" l="1"/>
  <c r="E107" i="1"/>
  <c r="B108" i="1"/>
  <c r="F106" i="1"/>
  <c r="F107" i="1" s="1"/>
  <c r="C108" i="1" l="1"/>
  <c r="E108" i="1"/>
  <c r="B109" i="1"/>
  <c r="C109" i="1" l="1"/>
  <c r="E109" i="1"/>
  <c r="B110" i="1"/>
  <c r="F108" i="1"/>
  <c r="F109" i="1" s="1"/>
  <c r="C110" i="1" l="1"/>
  <c r="E110" i="1"/>
  <c r="B111" i="1"/>
  <c r="C111" i="1" l="1"/>
  <c r="E111" i="1"/>
  <c r="B112" i="1"/>
  <c r="F110" i="1"/>
  <c r="F111" i="1" s="1"/>
  <c r="C112" i="1" l="1"/>
  <c r="E112" i="1"/>
  <c r="B113" i="1"/>
  <c r="C113" i="1" l="1"/>
  <c r="E113" i="1"/>
  <c r="B114" i="1"/>
  <c r="F112" i="1"/>
  <c r="F113" i="1" s="1"/>
  <c r="C114" i="1" l="1"/>
  <c r="E114" i="1"/>
  <c r="B115" i="1"/>
  <c r="C115" i="1" l="1"/>
  <c r="E115" i="1"/>
  <c r="B116" i="1"/>
  <c r="F114" i="1"/>
  <c r="F115" i="1" s="1"/>
  <c r="C116" i="1" l="1"/>
  <c r="E116" i="1"/>
  <c r="B117" i="1"/>
  <c r="C117" i="1" l="1"/>
  <c r="E117" i="1"/>
  <c r="B118" i="1"/>
  <c r="F116" i="1"/>
  <c r="F117" i="1" s="1"/>
  <c r="E118" i="1" l="1"/>
  <c r="B119" i="1"/>
  <c r="C119" i="1" l="1"/>
  <c r="E119" i="1"/>
  <c r="B120" i="1"/>
  <c r="F118" i="1"/>
  <c r="F119" i="1" s="1"/>
  <c r="C120" i="1" l="1"/>
  <c r="E120" i="1"/>
  <c r="B121" i="1"/>
  <c r="C121" i="1" l="1"/>
  <c r="E121" i="1"/>
  <c r="B122" i="1"/>
  <c r="F120" i="1"/>
  <c r="F121" i="1" s="1"/>
  <c r="C122" i="1" l="1"/>
  <c r="E122" i="1"/>
  <c r="B123" i="1"/>
  <c r="C123" i="1" l="1"/>
  <c r="E123" i="1"/>
  <c r="B124" i="1"/>
  <c r="F122" i="1"/>
  <c r="F123" i="1" s="1"/>
  <c r="C124" i="1" l="1"/>
  <c r="E124" i="1"/>
  <c r="B125" i="1"/>
  <c r="C125" i="1" l="1"/>
  <c r="E125" i="1"/>
  <c r="B126" i="1"/>
  <c r="F124" i="1"/>
  <c r="F125" i="1" s="1"/>
  <c r="C126" i="1" l="1"/>
  <c r="E126" i="1"/>
  <c r="B127" i="1"/>
  <c r="C127" i="1" l="1"/>
  <c r="E127" i="1"/>
  <c r="B128" i="1"/>
  <c r="F126" i="1"/>
  <c r="F127" i="1" s="1"/>
  <c r="C128" i="1" l="1"/>
  <c r="E128" i="1"/>
  <c r="B129" i="1"/>
  <c r="C129" i="1" l="1"/>
  <c r="E129" i="1"/>
  <c r="B130" i="1"/>
  <c r="F128" i="1"/>
  <c r="F129" i="1" s="1"/>
  <c r="C130" i="1" l="1"/>
  <c r="E130" i="1"/>
  <c r="B131" i="1"/>
  <c r="C131" i="1" l="1"/>
  <c r="E131" i="1"/>
  <c r="B132" i="1"/>
  <c r="F130" i="1"/>
  <c r="F131" i="1" s="1"/>
  <c r="C132" i="1" l="1"/>
  <c r="E132" i="1"/>
  <c r="B133" i="1"/>
  <c r="C133" i="1" l="1"/>
  <c r="E133" i="1"/>
  <c r="B134" i="1"/>
  <c r="F132" i="1"/>
  <c r="F133" i="1" s="1"/>
  <c r="C134" i="1" l="1"/>
  <c r="E134" i="1"/>
  <c r="B135" i="1"/>
  <c r="C135" i="1" l="1"/>
  <c r="E135" i="1"/>
  <c r="B136" i="1"/>
  <c r="F134" i="1"/>
  <c r="F135" i="1" s="1"/>
  <c r="C136" i="1" l="1"/>
  <c r="E136" i="1"/>
  <c r="B137" i="1"/>
  <c r="C137" i="1" l="1"/>
  <c r="E137" i="1"/>
  <c r="B138" i="1"/>
  <c r="F136" i="1"/>
  <c r="F137" i="1" s="1"/>
  <c r="C138" i="1" l="1"/>
  <c r="E138" i="1"/>
  <c r="B139" i="1"/>
  <c r="C139" i="1" l="1"/>
  <c r="E139" i="1"/>
  <c r="B140" i="1"/>
  <c r="F138" i="1"/>
  <c r="F139" i="1" s="1"/>
  <c r="C140" i="1" l="1"/>
  <c r="E140" i="1"/>
  <c r="B141" i="1"/>
  <c r="C141" i="1" l="1"/>
  <c r="E141" i="1"/>
  <c r="B142" i="1"/>
  <c r="F140" i="1"/>
  <c r="F141" i="1" s="1"/>
  <c r="C142" i="1" l="1"/>
  <c r="E142" i="1"/>
  <c r="B143" i="1"/>
  <c r="C143" i="1" l="1"/>
  <c r="E143" i="1"/>
  <c r="B144" i="1"/>
  <c r="F142" i="1"/>
  <c r="F143" i="1" s="1"/>
  <c r="C144" i="1" l="1"/>
  <c r="E144" i="1"/>
  <c r="B145" i="1"/>
  <c r="C145" i="1" l="1"/>
  <c r="E145" i="1"/>
  <c r="B146" i="1"/>
  <c r="F144" i="1"/>
  <c r="F145" i="1" s="1"/>
  <c r="C146" i="1" l="1"/>
  <c r="E146" i="1"/>
  <c r="B147" i="1"/>
  <c r="C147" i="1" l="1"/>
  <c r="E147" i="1"/>
  <c r="B148" i="1"/>
  <c r="F146" i="1"/>
  <c r="F147" i="1" s="1"/>
  <c r="C148" i="1" l="1"/>
  <c r="E148" i="1"/>
  <c r="B149" i="1"/>
  <c r="C149" i="1" l="1"/>
  <c r="E149" i="1"/>
  <c r="B150" i="1"/>
  <c r="F148" i="1"/>
  <c r="F149" i="1" s="1"/>
  <c r="C150" i="1" l="1"/>
  <c r="E150" i="1"/>
  <c r="B151" i="1"/>
  <c r="C151" i="1" l="1"/>
  <c r="E151" i="1"/>
  <c r="B152" i="1"/>
  <c r="F150" i="1"/>
  <c r="F151" i="1" s="1"/>
  <c r="C152" i="1" l="1"/>
  <c r="E152" i="1"/>
  <c r="B153" i="1"/>
  <c r="C153" i="1" l="1"/>
  <c r="E153" i="1"/>
  <c r="B154" i="1"/>
  <c r="F152" i="1"/>
  <c r="F153" i="1" s="1"/>
  <c r="C154" i="1" l="1"/>
  <c r="E154" i="1"/>
  <c r="B155" i="1"/>
  <c r="C155" i="1" l="1"/>
  <c r="E155" i="1"/>
  <c r="B156" i="1"/>
  <c r="F154" i="1"/>
  <c r="F155" i="1" s="1"/>
  <c r="C156" i="1" l="1"/>
  <c r="E156" i="1"/>
  <c r="B157" i="1"/>
  <c r="C157" i="1" l="1"/>
  <c r="E157" i="1"/>
  <c r="B158" i="1"/>
  <c r="F156" i="1"/>
  <c r="F157" i="1" s="1"/>
  <c r="C158" i="1" l="1"/>
  <c r="E158" i="1"/>
  <c r="B159" i="1"/>
  <c r="C159" i="1" l="1"/>
  <c r="E159" i="1"/>
  <c r="B160" i="1"/>
  <c r="F158" i="1"/>
  <c r="F159" i="1" s="1"/>
  <c r="C160" i="1" l="1"/>
  <c r="E160" i="1"/>
  <c r="B161" i="1"/>
  <c r="C161" i="1" l="1"/>
  <c r="E161" i="1"/>
  <c r="B162" i="1"/>
  <c r="F160" i="1"/>
  <c r="F161" i="1" s="1"/>
  <c r="C162" i="1" l="1"/>
  <c r="E162" i="1"/>
  <c r="B163" i="1"/>
  <c r="C163" i="1" l="1"/>
  <c r="E163" i="1"/>
  <c r="B164" i="1"/>
  <c r="F162" i="1"/>
  <c r="F163" i="1" s="1"/>
  <c r="C164" i="1" l="1"/>
  <c r="E164" i="1"/>
  <c r="B165" i="1"/>
  <c r="C165" i="1" l="1"/>
  <c r="E165" i="1"/>
  <c r="B166" i="1"/>
  <c r="F164" i="1"/>
  <c r="F165" i="1" s="1"/>
  <c r="C166" i="1" l="1"/>
  <c r="E166" i="1"/>
  <c r="B167" i="1"/>
  <c r="C167" i="1" l="1"/>
  <c r="E167" i="1"/>
  <c r="B168" i="1"/>
  <c r="F166" i="1"/>
  <c r="F167" i="1" s="1"/>
  <c r="C168" i="1" l="1"/>
  <c r="E168" i="1"/>
  <c r="B169" i="1"/>
  <c r="C169" i="1" l="1"/>
  <c r="E169" i="1"/>
  <c r="B170" i="1"/>
  <c r="F168" i="1"/>
  <c r="F169" i="1" s="1"/>
  <c r="C170" i="1" l="1"/>
  <c r="E170" i="1"/>
  <c r="B171" i="1"/>
  <c r="C171" i="1" l="1"/>
  <c r="E171" i="1"/>
  <c r="B172" i="1"/>
  <c r="F170" i="1"/>
  <c r="F171" i="1" s="1"/>
  <c r="C172" i="1" l="1"/>
  <c r="E172" i="1"/>
  <c r="B173" i="1"/>
  <c r="C173" i="1" l="1"/>
  <c r="E173" i="1"/>
  <c r="B174" i="1"/>
  <c r="F172" i="1"/>
  <c r="F173" i="1" s="1"/>
  <c r="C174" i="1" l="1"/>
  <c r="E174" i="1"/>
  <c r="B175" i="1"/>
  <c r="C175" i="1" l="1"/>
  <c r="E175" i="1"/>
  <c r="B176" i="1"/>
  <c r="F174" i="1"/>
  <c r="F175" i="1" s="1"/>
  <c r="C176" i="1" l="1"/>
  <c r="E176" i="1"/>
  <c r="B177" i="1"/>
  <c r="C177" i="1" l="1"/>
  <c r="E177" i="1"/>
  <c r="B178" i="1"/>
  <c r="F176" i="1"/>
  <c r="F177" i="1" s="1"/>
  <c r="C178" i="1" l="1"/>
  <c r="E178" i="1"/>
  <c r="B179" i="1"/>
  <c r="C179" i="1" l="1"/>
  <c r="E179" i="1"/>
  <c r="B180" i="1"/>
  <c r="F178" i="1"/>
  <c r="F179" i="1" s="1"/>
  <c r="C180" i="1" l="1"/>
  <c r="E180" i="1"/>
  <c r="B181" i="1"/>
  <c r="C181" i="1" l="1"/>
  <c r="E181" i="1"/>
  <c r="B182" i="1"/>
  <c r="F180" i="1"/>
  <c r="F181" i="1" s="1"/>
  <c r="C182" i="1" l="1"/>
  <c r="E182" i="1"/>
  <c r="B183" i="1"/>
  <c r="C183" i="1" l="1"/>
  <c r="E183" i="1"/>
  <c r="B184" i="1"/>
  <c r="F182" i="1"/>
  <c r="F183" i="1" s="1"/>
  <c r="C184" i="1" l="1"/>
  <c r="E184" i="1"/>
  <c r="B185" i="1"/>
  <c r="C185" i="1" l="1"/>
  <c r="E185" i="1"/>
  <c r="B186" i="1"/>
  <c r="F184" i="1"/>
  <c r="F185" i="1" s="1"/>
  <c r="C186" i="1" l="1"/>
  <c r="E186" i="1"/>
  <c r="B187" i="1"/>
  <c r="C187" i="1" l="1"/>
  <c r="E187" i="1"/>
  <c r="B188" i="1"/>
  <c r="F186" i="1"/>
  <c r="F187" i="1" s="1"/>
  <c r="C188" i="1" l="1"/>
  <c r="E188" i="1"/>
  <c r="B189" i="1"/>
  <c r="C189" i="1" l="1"/>
  <c r="E189" i="1"/>
  <c r="B190" i="1"/>
  <c r="F188" i="1"/>
  <c r="F189" i="1" s="1"/>
  <c r="C190" i="1" l="1"/>
  <c r="E190" i="1"/>
  <c r="B191" i="1"/>
  <c r="C191" i="1" l="1"/>
  <c r="E191" i="1"/>
  <c r="B192" i="1"/>
  <c r="F190" i="1"/>
  <c r="F191" i="1" s="1"/>
  <c r="C192" i="1" l="1"/>
  <c r="E192" i="1"/>
  <c r="B193" i="1"/>
  <c r="C193" i="1" l="1"/>
  <c r="E193" i="1"/>
  <c r="B194" i="1"/>
  <c r="F192" i="1"/>
  <c r="F193" i="1" s="1"/>
  <c r="C194" i="1" l="1"/>
  <c r="E194" i="1"/>
  <c r="B195" i="1"/>
  <c r="C195" i="1" l="1"/>
  <c r="E195" i="1"/>
  <c r="B196" i="1"/>
  <c r="F194" i="1"/>
  <c r="F195" i="1" s="1"/>
  <c r="C196" i="1" l="1"/>
  <c r="E196" i="1"/>
  <c r="B197" i="1"/>
  <c r="C197" i="1" l="1"/>
  <c r="E197" i="1"/>
  <c r="B198" i="1"/>
  <c r="F196" i="1"/>
  <c r="F197" i="1" s="1"/>
  <c r="C198" i="1" l="1"/>
  <c r="E198" i="1"/>
  <c r="B199" i="1"/>
  <c r="C199" i="1" l="1"/>
  <c r="E199" i="1"/>
  <c r="B200" i="1"/>
  <c r="F198" i="1"/>
  <c r="F199" i="1" s="1"/>
  <c r="C200" i="1" l="1"/>
  <c r="E200" i="1"/>
  <c r="B201" i="1"/>
  <c r="C201" i="1" l="1"/>
  <c r="E201" i="1"/>
  <c r="B202" i="1"/>
  <c r="F200" i="1"/>
  <c r="F201" i="1" s="1"/>
  <c r="C202" i="1" l="1"/>
  <c r="E202" i="1"/>
  <c r="B203" i="1"/>
  <c r="C203" i="1" l="1"/>
  <c r="E203" i="1"/>
  <c r="B204" i="1"/>
  <c r="F202" i="1"/>
  <c r="F203" i="1" s="1"/>
  <c r="C204" i="1" l="1"/>
  <c r="E204" i="1"/>
  <c r="B205" i="1"/>
  <c r="C205" i="1" l="1"/>
  <c r="E205" i="1"/>
  <c r="B206" i="1"/>
  <c r="F204" i="1"/>
  <c r="F205" i="1" s="1"/>
  <c r="C206" i="1" l="1"/>
  <c r="E206" i="1"/>
  <c r="B207" i="1"/>
  <c r="C207" i="1" l="1"/>
  <c r="E207" i="1"/>
  <c r="B208" i="1"/>
  <c r="F206" i="1"/>
  <c r="F207" i="1" s="1"/>
  <c r="C208" i="1" l="1"/>
  <c r="E208" i="1"/>
  <c r="B209" i="1"/>
  <c r="C209" i="1" l="1"/>
  <c r="E209" i="1"/>
  <c r="B210" i="1"/>
  <c r="F208" i="1"/>
  <c r="F209" i="1" s="1"/>
  <c r="C210" i="1" l="1"/>
  <c r="E210" i="1"/>
  <c r="B211" i="1"/>
  <c r="C211" i="1" l="1"/>
  <c r="E211" i="1"/>
  <c r="B212" i="1"/>
  <c r="F210" i="1"/>
  <c r="F211" i="1" s="1"/>
  <c r="C212" i="1" l="1"/>
  <c r="E212" i="1"/>
  <c r="B213" i="1"/>
  <c r="C213" i="1" l="1"/>
  <c r="E213" i="1"/>
  <c r="B214" i="1"/>
  <c r="F212" i="1"/>
  <c r="F213" i="1" s="1"/>
  <c r="C214" i="1" l="1"/>
  <c r="E214" i="1"/>
  <c r="B215" i="1"/>
  <c r="C215" i="1" l="1"/>
  <c r="E215" i="1"/>
  <c r="B216" i="1"/>
  <c r="F214" i="1"/>
  <c r="F215" i="1" s="1"/>
  <c r="C216" i="1" l="1"/>
  <c r="E216" i="1"/>
  <c r="B217" i="1"/>
  <c r="C217" i="1" l="1"/>
  <c r="E217" i="1"/>
  <c r="B218" i="1"/>
  <c r="F216" i="1"/>
  <c r="F217" i="1" s="1"/>
  <c r="C218" i="1" l="1"/>
  <c r="E218" i="1"/>
  <c r="B219" i="1"/>
  <c r="C219" i="1" l="1"/>
  <c r="E219" i="1"/>
  <c r="B220" i="1"/>
  <c r="F218" i="1"/>
  <c r="F219" i="1" s="1"/>
  <c r="C220" i="1" l="1"/>
  <c r="E220" i="1"/>
  <c r="B221" i="1"/>
  <c r="C221" i="1" l="1"/>
  <c r="E221" i="1"/>
  <c r="B222" i="1"/>
  <c r="F220" i="1"/>
  <c r="F221" i="1" s="1"/>
  <c r="C222" i="1" l="1"/>
  <c r="E222" i="1"/>
  <c r="B223" i="1"/>
  <c r="C223" i="1" l="1"/>
  <c r="E223" i="1"/>
  <c r="B224" i="1"/>
  <c r="F222" i="1"/>
  <c r="F223" i="1" s="1"/>
  <c r="C224" i="1" l="1"/>
  <c r="E224" i="1"/>
  <c r="B225" i="1"/>
  <c r="C225" i="1" l="1"/>
  <c r="E225" i="1"/>
  <c r="B226" i="1"/>
  <c r="F224" i="1"/>
  <c r="F225" i="1" s="1"/>
  <c r="C226" i="1" l="1"/>
  <c r="E226" i="1"/>
  <c r="B227" i="1"/>
  <c r="C227" i="1" l="1"/>
  <c r="E227" i="1"/>
  <c r="B228" i="1"/>
  <c r="F226" i="1"/>
  <c r="F227" i="1" s="1"/>
  <c r="C228" i="1" l="1"/>
  <c r="E228" i="1"/>
  <c r="B229" i="1"/>
  <c r="C229" i="1" l="1"/>
  <c r="E229" i="1"/>
  <c r="B230" i="1"/>
  <c r="F228" i="1"/>
  <c r="F229" i="1" s="1"/>
  <c r="C230" i="1" l="1"/>
  <c r="E230" i="1"/>
  <c r="B231" i="1"/>
  <c r="C231" i="1" l="1"/>
  <c r="E231" i="1"/>
  <c r="B232" i="1"/>
  <c r="F230" i="1"/>
  <c r="F231" i="1" s="1"/>
  <c r="C232" i="1" l="1"/>
  <c r="E232" i="1"/>
  <c r="B233" i="1"/>
  <c r="C233" i="1" l="1"/>
  <c r="E233" i="1"/>
  <c r="B234" i="1"/>
  <c r="F232" i="1"/>
  <c r="F233" i="1" s="1"/>
  <c r="C234" i="1" l="1"/>
  <c r="E234" i="1"/>
  <c r="B235" i="1"/>
  <c r="C235" i="1" l="1"/>
  <c r="E235" i="1"/>
  <c r="B236" i="1"/>
  <c r="F234" i="1"/>
  <c r="F235" i="1" s="1"/>
  <c r="C236" i="1" l="1"/>
  <c r="E236" i="1"/>
  <c r="B237" i="1"/>
  <c r="C237" i="1" l="1"/>
  <c r="E237" i="1"/>
  <c r="B238" i="1"/>
  <c r="F236" i="1"/>
  <c r="F237" i="1" s="1"/>
  <c r="C238" i="1" l="1"/>
  <c r="E238" i="1"/>
  <c r="B239" i="1"/>
  <c r="C239" i="1" l="1"/>
  <c r="E239" i="1"/>
  <c r="B240" i="1"/>
  <c r="F238" i="1"/>
  <c r="F239" i="1" s="1"/>
  <c r="C240" i="1" l="1"/>
  <c r="E240" i="1"/>
  <c r="B241" i="1"/>
  <c r="C241" i="1" l="1"/>
  <c r="E241" i="1"/>
  <c r="B242" i="1"/>
  <c r="F240" i="1"/>
  <c r="F241" i="1" s="1"/>
  <c r="C242" i="1" l="1"/>
  <c r="E242" i="1"/>
  <c r="B243" i="1"/>
  <c r="C243" i="1" l="1"/>
  <c r="E243" i="1"/>
  <c r="B244" i="1"/>
  <c r="F242" i="1"/>
  <c r="F243" i="1" s="1"/>
  <c r="C244" i="1" l="1"/>
  <c r="E244" i="1"/>
  <c r="B245" i="1"/>
  <c r="C245" i="1" l="1"/>
  <c r="E245" i="1"/>
  <c r="B246" i="1"/>
  <c r="F244" i="1"/>
  <c r="F245" i="1" s="1"/>
  <c r="C246" i="1" l="1"/>
  <c r="E246" i="1"/>
  <c r="B247" i="1"/>
  <c r="C247" i="1" l="1"/>
  <c r="E247" i="1"/>
  <c r="B248" i="1"/>
  <c r="F246" i="1"/>
  <c r="F247" i="1" s="1"/>
  <c r="C248" i="1" l="1"/>
  <c r="E248" i="1"/>
  <c r="B249" i="1"/>
  <c r="C249" i="1" l="1"/>
  <c r="E249" i="1"/>
  <c r="B250" i="1"/>
  <c r="F248" i="1"/>
  <c r="F249" i="1" s="1"/>
  <c r="C250" i="1" l="1"/>
  <c r="E250" i="1"/>
  <c r="B251" i="1"/>
  <c r="C251" i="1" l="1"/>
  <c r="E251" i="1"/>
  <c r="B252" i="1"/>
  <c r="F250" i="1"/>
  <c r="F251" i="1" s="1"/>
  <c r="C252" i="1" l="1"/>
  <c r="E252" i="1"/>
  <c r="B253" i="1"/>
  <c r="C253" i="1" l="1"/>
  <c r="E253" i="1"/>
  <c r="B254" i="1"/>
  <c r="F252" i="1"/>
  <c r="F253" i="1" s="1"/>
  <c r="C254" i="1" l="1"/>
  <c r="E254" i="1"/>
  <c r="B255" i="1"/>
  <c r="C255" i="1" l="1"/>
  <c r="E255" i="1"/>
  <c r="B256" i="1"/>
  <c r="F254" i="1"/>
  <c r="F255" i="1" s="1"/>
  <c r="C256" i="1" l="1"/>
  <c r="E256" i="1"/>
  <c r="B257" i="1"/>
  <c r="C257" i="1" l="1"/>
  <c r="E257" i="1"/>
  <c r="B258" i="1"/>
  <c r="F256" i="1"/>
  <c r="F257" i="1" s="1"/>
  <c r="C258" i="1" l="1"/>
  <c r="E258" i="1"/>
  <c r="B259" i="1"/>
  <c r="C259" i="1" l="1"/>
  <c r="E259" i="1"/>
  <c r="B260" i="1"/>
  <c r="F258" i="1"/>
  <c r="F259" i="1" s="1"/>
  <c r="C260" i="1" l="1"/>
  <c r="E260" i="1"/>
  <c r="B261" i="1"/>
  <c r="C261" i="1" l="1"/>
  <c r="E261" i="1"/>
  <c r="B262" i="1"/>
  <c r="F260" i="1"/>
  <c r="F261" i="1" s="1"/>
  <c r="C262" i="1" l="1"/>
  <c r="E262" i="1"/>
  <c r="B263" i="1"/>
  <c r="C263" i="1" l="1"/>
  <c r="E263" i="1"/>
  <c r="B264" i="1"/>
  <c r="F262" i="1"/>
  <c r="F263" i="1" s="1"/>
  <c r="C264" i="1" l="1"/>
  <c r="E264" i="1"/>
  <c r="B265" i="1"/>
  <c r="C265" i="1" l="1"/>
  <c r="E265" i="1"/>
  <c r="B266" i="1"/>
  <c r="F264" i="1"/>
  <c r="F265" i="1" s="1"/>
  <c r="C266" i="1" l="1"/>
  <c r="E266" i="1"/>
  <c r="B267" i="1"/>
  <c r="C267" i="1" l="1"/>
  <c r="E267" i="1"/>
  <c r="B268" i="1"/>
  <c r="F266" i="1"/>
  <c r="F267" i="1" s="1"/>
  <c r="C268" i="1" l="1"/>
  <c r="E268" i="1"/>
  <c r="B269" i="1"/>
  <c r="C269" i="1" l="1"/>
  <c r="E269" i="1"/>
  <c r="B270" i="1"/>
  <c r="F268" i="1"/>
  <c r="F269" i="1" s="1"/>
  <c r="C270" i="1" l="1"/>
  <c r="E270" i="1"/>
  <c r="B271" i="1"/>
  <c r="C271" i="1" l="1"/>
  <c r="E271" i="1"/>
  <c r="B272" i="1"/>
  <c r="F270" i="1"/>
  <c r="F271" i="1" s="1"/>
  <c r="C272" i="1" l="1"/>
  <c r="E272" i="1"/>
  <c r="B273" i="1"/>
  <c r="C273" i="1" l="1"/>
  <c r="E273" i="1"/>
  <c r="B274" i="1"/>
  <c r="F272" i="1"/>
  <c r="F273" i="1" s="1"/>
  <c r="C274" i="1" l="1"/>
  <c r="E274" i="1"/>
  <c r="B275" i="1"/>
  <c r="C275" i="1" l="1"/>
  <c r="E275" i="1"/>
  <c r="B276" i="1"/>
  <c r="F274" i="1"/>
  <c r="F275" i="1" s="1"/>
  <c r="C276" i="1" l="1"/>
  <c r="E276" i="1"/>
  <c r="B277" i="1"/>
  <c r="C277" i="1" l="1"/>
  <c r="E277" i="1"/>
  <c r="B278" i="1"/>
  <c r="F276" i="1"/>
  <c r="F277" i="1" s="1"/>
  <c r="C278" i="1" l="1"/>
  <c r="E278" i="1"/>
  <c r="B279" i="1"/>
  <c r="C279" i="1" l="1"/>
  <c r="E279" i="1"/>
  <c r="B280" i="1"/>
  <c r="F278" i="1"/>
  <c r="F279" i="1" s="1"/>
  <c r="C280" i="1" l="1"/>
  <c r="E280" i="1"/>
  <c r="B281" i="1"/>
  <c r="C281" i="1" l="1"/>
  <c r="E281" i="1"/>
  <c r="B282" i="1"/>
  <c r="F280" i="1"/>
  <c r="F281" i="1" s="1"/>
  <c r="C282" i="1" l="1"/>
  <c r="E282" i="1"/>
  <c r="B283" i="1"/>
  <c r="C283" i="1" l="1"/>
  <c r="E283" i="1"/>
  <c r="B284" i="1"/>
  <c r="F282" i="1"/>
  <c r="F283" i="1" s="1"/>
  <c r="C284" i="1" l="1"/>
  <c r="E284" i="1"/>
  <c r="B285" i="1"/>
  <c r="C285" i="1" l="1"/>
  <c r="E285" i="1"/>
  <c r="B286" i="1"/>
  <c r="F284" i="1"/>
  <c r="F285" i="1" s="1"/>
  <c r="C286" i="1" l="1"/>
  <c r="E286" i="1"/>
  <c r="B287" i="1"/>
  <c r="C287" i="1" l="1"/>
  <c r="E287" i="1"/>
  <c r="B288" i="1"/>
  <c r="F286" i="1"/>
  <c r="F287" i="1" s="1"/>
  <c r="C288" i="1" l="1"/>
  <c r="E288" i="1"/>
  <c r="B289" i="1"/>
  <c r="C289" i="1" l="1"/>
  <c r="E289" i="1"/>
  <c r="B290" i="1"/>
  <c r="F288" i="1"/>
  <c r="F289" i="1" s="1"/>
  <c r="C290" i="1" l="1"/>
  <c r="E290" i="1"/>
  <c r="B291" i="1"/>
  <c r="C291" i="1" l="1"/>
  <c r="E291" i="1"/>
  <c r="B292" i="1"/>
  <c r="F290" i="1"/>
  <c r="F291" i="1" s="1"/>
  <c r="C292" i="1" l="1"/>
  <c r="E292" i="1"/>
  <c r="B293" i="1"/>
  <c r="C293" i="1" l="1"/>
  <c r="E293" i="1"/>
  <c r="B294" i="1"/>
  <c r="F292" i="1"/>
  <c r="F293" i="1" s="1"/>
  <c r="C294" i="1" l="1"/>
  <c r="E294" i="1"/>
  <c r="B295" i="1"/>
  <c r="C295" i="1" l="1"/>
  <c r="E295" i="1"/>
  <c r="B296" i="1"/>
  <c r="F294" i="1"/>
  <c r="F295" i="1" s="1"/>
  <c r="C296" i="1" l="1"/>
  <c r="E296" i="1"/>
  <c r="B297" i="1"/>
  <c r="C297" i="1" l="1"/>
  <c r="E297" i="1"/>
  <c r="B298" i="1"/>
  <c r="F296" i="1"/>
  <c r="F297" i="1" s="1"/>
  <c r="C298" i="1" l="1"/>
  <c r="E298" i="1"/>
  <c r="B299" i="1"/>
  <c r="C299" i="1" l="1"/>
  <c r="E299" i="1"/>
  <c r="B300" i="1"/>
  <c r="F298" i="1"/>
  <c r="F299" i="1" s="1"/>
  <c r="C300" i="1" l="1"/>
  <c r="E300" i="1"/>
  <c r="B301" i="1"/>
  <c r="C301" i="1" l="1"/>
  <c r="E301" i="1"/>
  <c r="B302" i="1"/>
  <c r="F300" i="1"/>
  <c r="F301" i="1" s="1"/>
  <c r="C302" i="1" l="1"/>
  <c r="E302" i="1"/>
  <c r="B303" i="1"/>
  <c r="C303" i="1" l="1"/>
  <c r="E303" i="1"/>
  <c r="B304" i="1"/>
  <c r="F302" i="1"/>
  <c r="F303" i="1" s="1"/>
  <c r="C304" i="1" l="1"/>
  <c r="E304" i="1"/>
  <c r="B305" i="1"/>
  <c r="C305" i="1" l="1"/>
  <c r="E305" i="1"/>
  <c r="B306" i="1"/>
  <c r="F304" i="1"/>
  <c r="F305" i="1" s="1"/>
  <c r="C306" i="1" l="1"/>
  <c r="E306" i="1"/>
  <c r="B307" i="1"/>
  <c r="C307" i="1" l="1"/>
  <c r="E307" i="1"/>
  <c r="B308" i="1"/>
  <c r="F306" i="1"/>
  <c r="F307" i="1" s="1"/>
  <c r="C308" i="1" l="1"/>
  <c r="E308" i="1"/>
  <c r="B309" i="1"/>
  <c r="C309" i="1" l="1"/>
  <c r="E309" i="1"/>
  <c r="B310" i="1"/>
  <c r="F308" i="1"/>
  <c r="F309" i="1" s="1"/>
  <c r="C310" i="1" l="1"/>
  <c r="E310" i="1"/>
  <c r="B311" i="1"/>
  <c r="C311" i="1" l="1"/>
  <c r="E311" i="1"/>
  <c r="B312" i="1"/>
  <c r="F310" i="1"/>
  <c r="F311" i="1" s="1"/>
  <c r="C312" i="1" l="1"/>
  <c r="E312" i="1"/>
  <c r="B313" i="1"/>
  <c r="C313" i="1" l="1"/>
  <c r="E313" i="1"/>
  <c r="B314" i="1"/>
  <c r="F312" i="1"/>
  <c r="F313" i="1" s="1"/>
  <c r="C314" i="1" l="1"/>
  <c r="E314" i="1"/>
  <c r="B315" i="1"/>
  <c r="C315" i="1" l="1"/>
  <c r="E315" i="1"/>
  <c r="B316" i="1"/>
  <c r="F314" i="1"/>
  <c r="F315" i="1" s="1"/>
  <c r="C316" i="1" l="1"/>
  <c r="E316" i="1"/>
  <c r="B317" i="1"/>
  <c r="C317" i="1" l="1"/>
  <c r="E317" i="1"/>
  <c r="B318" i="1"/>
  <c r="F316" i="1"/>
  <c r="F317" i="1" s="1"/>
  <c r="C318" i="1" l="1"/>
  <c r="E318" i="1"/>
  <c r="B319" i="1"/>
  <c r="C319" i="1" l="1"/>
  <c r="E319" i="1"/>
  <c r="B320" i="1"/>
  <c r="F318" i="1"/>
  <c r="F319" i="1" s="1"/>
  <c r="C320" i="1" l="1"/>
  <c r="E320" i="1"/>
  <c r="B321" i="1"/>
  <c r="C321" i="1" l="1"/>
  <c r="E321" i="1"/>
  <c r="B322" i="1"/>
  <c r="F320" i="1"/>
  <c r="F321" i="1" s="1"/>
  <c r="C322" i="1" l="1"/>
  <c r="E322" i="1"/>
  <c r="B323" i="1"/>
  <c r="C323" i="1" l="1"/>
  <c r="E323" i="1"/>
  <c r="B324" i="1"/>
  <c r="F322" i="1"/>
  <c r="F323" i="1" s="1"/>
  <c r="C324" i="1" l="1"/>
  <c r="E324" i="1"/>
  <c r="B325" i="1"/>
  <c r="C325" i="1" l="1"/>
  <c r="E325" i="1"/>
  <c r="B326" i="1"/>
  <c r="F324" i="1"/>
  <c r="F325" i="1" s="1"/>
  <c r="C326" i="1" l="1"/>
  <c r="E326" i="1"/>
  <c r="B327" i="1"/>
  <c r="C327" i="1" l="1"/>
  <c r="E327" i="1"/>
  <c r="B328" i="1"/>
  <c r="F326" i="1"/>
  <c r="F327" i="1" s="1"/>
  <c r="C328" i="1" l="1"/>
  <c r="E328" i="1"/>
  <c r="B329" i="1"/>
  <c r="C329" i="1" l="1"/>
  <c r="E329" i="1"/>
  <c r="B330" i="1"/>
  <c r="F328" i="1"/>
  <c r="F329" i="1" s="1"/>
  <c r="C330" i="1" l="1"/>
  <c r="E330" i="1"/>
  <c r="B331" i="1"/>
  <c r="C331" i="1" l="1"/>
  <c r="E331" i="1"/>
  <c r="B332" i="1"/>
  <c r="F330" i="1"/>
  <c r="F331" i="1" s="1"/>
  <c r="C332" i="1" l="1"/>
  <c r="E332" i="1"/>
  <c r="B333" i="1"/>
  <c r="C333" i="1" l="1"/>
  <c r="E333" i="1"/>
  <c r="B334" i="1"/>
  <c r="F332" i="1"/>
  <c r="F333" i="1" s="1"/>
  <c r="C334" i="1" l="1"/>
  <c r="E334" i="1"/>
  <c r="B335" i="1"/>
  <c r="C335" i="1" l="1"/>
  <c r="E335" i="1"/>
  <c r="B336" i="1"/>
  <c r="F334" i="1"/>
  <c r="F335" i="1" s="1"/>
  <c r="C336" i="1" l="1"/>
  <c r="E336" i="1"/>
  <c r="B337" i="1"/>
  <c r="C337" i="1" l="1"/>
  <c r="E337" i="1"/>
  <c r="B338" i="1"/>
  <c r="F336" i="1"/>
  <c r="F337" i="1" s="1"/>
  <c r="C338" i="1" l="1"/>
  <c r="E338" i="1"/>
  <c r="B339" i="1"/>
  <c r="C339" i="1" l="1"/>
  <c r="E339" i="1"/>
  <c r="B340" i="1"/>
  <c r="F338" i="1"/>
  <c r="F339" i="1" s="1"/>
  <c r="C340" i="1" l="1"/>
  <c r="E340" i="1"/>
  <c r="B341" i="1"/>
  <c r="C341" i="1" l="1"/>
  <c r="E341" i="1"/>
  <c r="B342" i="1"/>
  <c r="F340" i="1"/>
  <c r="F341" i="1" s="1"/>
  <c r="C342" i="1" l="1"/>
  <c r="E342" i="1"/>
  <c r="B343" i="1"/>
  <c r="C343" i="1" l="1"/>
  <c r="E343" i="1"/>
  <c r="B344" i="1"/>
  <c r="F342" i="1"/>
  <c r="F343" i="1" s="1"/>
  <c r="C344" i="1" l="1"/>
  <c r="E344" i="1"/>
  <c r="B345" i="1"/>
  <c r="C345" i="1" l="1"/>
  <c r="E345" i="1"/>
  <c r="B346" i="1"/>
  <c r="F344" i="1"/>
  <c r="F345" i="1" s="1"/>
  <c r="C346" i="1" l="1"/>
  <c r="E346" i="1"/>
  <c r="B347" i="1"/>
  <c r="C347" i="1" l="1"/>
  <c r="E347" i="1"/>
  <c r="B348" i="1"/>
  <c r="F346" i="1"/>
  <c r="F347" i="1" s="1"/>
  <c r="C348" i="1" l="1"/>
  <c r="E348" i="1"/>
  <c r="B349" i="1"/>
  <c r="C349" i="1" l="1"/>
  <c r="E349" i="1"/>
  <c r="B350" i="1"/>
  <c r="F348" i="1"/>
  <c r="F349" i="1" s="1"/>
  <c r="C350" i="1" l="1"/>
  <c r="E350" i="1"/>
  <c r="B351" i="1"/>
  <c r="C351" i="1" l="1"/>
  <c r="E351" i="1"/>
  <c r="B352" i="1"/>
  <c r="F350" i="1"/>
  <c r="F351" i="1" s="1"/>
  <c r="C352" i="1" l="1"/>
  <c r="E352" i="1"/>
  <c r="B353" i="1"/>
  <c r="C353" i="1" l="1"/>
  <c r="E353" i="1"/>
  <c r="B354" i="1"/>
  <c r="F352" i="1"/>
  <c r="F353" i="1" s="1"/>
  <c r="C354" i="1" l="1"/>
  <c r="E354" i="1"/>
  <c r="B355" i="1"/>
  <c r="C355" i="1" l="1"/>
  <c r="E355" i="1"/>
  <c r="B356" i="1"/>
  <c r="F354" i="1"/>
  <c r="F355" i="1" s="1"/>
  <c r="C356" i="1" l="1"/>
  <c r="E356" i="1"/>
  <c r="B357" i="1"/>
  <c r="C357" i="1" l="1"/>
  <c r="E357" i="1"/>
  <c r="B358" i="1"/>
  <c r="F356" i="1"/>
  <c r="F357" i="1" s="1"/>
  <c r="C358" i="1" l="1"/>
  <c r="E358" i="1"/>
  <c r="B359" i="1"/>
  <c r="C359" i="1" l="1"/>
  <c r="E359" i="1"/>
  <c r="B360" i="1"/>
  <c r="F358" i="1"/>
  <c r="F359" i="1" s="1"/>
  <c r="C360" i="1" l="1"/>
  <c r="E360" i="1"/>
  <c r="B361" i="1"/>
  <c r="C361" i="1" l="1"/>
  <c r="E361" i="1"/>
  <c r="B362" i="1"/>
  <c r="F360" i="1"/>
  <c r="F361" i="1" s="1"/>
  <c r="C362" i="1" l="1"/>
  <c r="E362" i="1"/>
  <c r="B363" i="1"/>
  <c r="C363" i="1" l="1"/>
  <c r="E363" i="1"/>
  <c r="B364" i="1"/>
  <c r="F362" i="1"/>
  <c r="F363" i="1" s="1"/>
  <c r="C364" i="1" l="1"/>
  <c r="E364" i="1"/>
  <c r="B365" i="1"/>
  <c r="C365" i="1" l="1"/>
  <c r="E365" i="1"/>
  <c r="B366" i="1"/>
  <c r="F364" i="1"/>
  <c r="F365" i="1" s="1"/>
  <c r="C366" i="1" l="1"/>
  <c r="E366" i="1"/>
  <c r="B367" i="1"/>
  <c r="C367" i="1" l="1"/>
  <c r="E367" i="1"/>
  <c r="B368" i="1"/>
  <c r="F366" i="1"/>
  <c r="F367" i="1" s="1"/>
  <c r="C368" i="1" l="1"/>
  <c r="E368" i="1"/>
  <c r="B369" i="1"/>
  <c r="C369" i="1" l="1"/>
  <c r="E369" i="1"/>
  <c r="B370" i="1"/>
  <c r="F368" i="1"/>
  <c r="F369" i="1" s="1"/>
  <c r="C370" i="1" l="1"/>
  <c r="E370" i="1"/>
  <c r="B371" i="1"/>
  <c r="C371" i="1" l="1"/>
  <c r="E371" i="1"/>
  <c r="B372" i="1"/>
  <c r="F370" i="1"/>
  <c r="F371" i="1" s="1"/>
  <c r="C372" i="1" l="1"/>
  <c r="E372" i="1"/>
  <c r="B373" i="1"/>
  <c r="C373" i="1" l="1"/>
  <c r="E373" i="1"/>
  <c r="B374" i="1"/>
  <c r="F372" i="1"/>
  <c r="F373" i="1" s="1"/>
  <c r="C374" i="1" l="1"/>
  <c r="E374" i="1"/>
  <c r="B375" i="1"/>
  <c r="C375" i="1" l="1"/>
  <c r="E375" i="1"/>
  <c r="B376" i="1"/>
  <c r="F374" i="1"/>
  <c r="F375" i="1" s="1"/>
  <c r="C376" i="1" l="1"/>
  <c r="E376" i="1"/>
  <c r="B377" i="1"/>
  <c r="C377" i="1" l="1"/>
  <c r="E377" i="1"/>
  <c r="B378" i="1"/>
  <c r="F376" i="1"/>
  <c r="F377" i="1" s="1"/>
  <c r="C378" i="1" l="1"/>
  <c r="E378" i="1"/>
  <c r="B379" i="1"/>
  <c r="C379" i="1" l="1"/>
  <c r="E379" i="1"/>
  <c r="B380" i="1"/>
  <c r="F378" i="1"/>
  <c r="F379" i="1" s="1"/>
  <c r="C380" i="1" l="1"/>
  <c r="E380" i="1"/>
  <c r="B381" i="1"/>
  <c r="C381" i="1" l="1"/>
  <c r="E381" i="1"/>
  <c r="B382" i="1"/>
  <c r="F380" i="1"/>
  <c r="F381" i="1" s="1"/>
  <c r="C382" i="1" l="1"/>
  <c r="E382" i="1"/>
  <c r="B383" i="1"/>
  <c r="C383" i="1" l="1"/>
  <c r="E383" i="1"/>
  <c r="B384" i="1"/>
  <c r="F382" i="1"/>
  <c r="F383" i="1" s="1"/>
  <c r="C384" i="1" l="1"/>
  <c r="E384" i="1"/>
  <c r="B385" i="1"/>
  <c r="C385" i="1" l="1"/>
  <c r="E385" i="1"/>
  <c r="B386" i="1"/>
  <c r="F384" i="1"/>
  <c r="F385" i="1" s="1"/>
  <c r="C386" i="1" l="1"/>
  <c r="E386" i="1"/>
  <c r="B387" i="1"/>
  <c r="C387" i="1" l="1"/>
  <c r="E387" i="1"/>
  <c r="B388" i="1"/>
  <c r="F386" i="1"/>
  <c r="F387" i="1" s="1"/>
  <c r="C388" i="1" l="1"/>
  <c r="E388" i="1"/>
  <c r="B389" i="1"/>
  <c r="C389" i="1" l="1"/>
  <c r="E389" i="1"/>
  <c r="B390" i="1"/>
  <c r="F388" i="1"/>
  <c r="F389" i="1" s="1"/>
  <c r="C390" i="1" l="1"/>
  <c r="E390" i="1"/>
  <c r="B391" i="1"/>
  <c r="C391" i="1" l="1"/>
  <c r="E391" i="1"/>
  <c r="B392" i="1"/>
  <c r="F390" i="1"/>
  <c r="F391" i="1" s="1"/>
  <c r="C392" i="1" l="1"/>
  <c r="E392" i="1"/>
  <c r="B393" i="1"/>
  <c r="C393" i="1" l="1"/>
  <c r="E393" i="1"/>
  <c r="B394" i="1"/>
  <c r="F392" i="1"/>
  <c r="F393" i="1" s="1"/>
  <c r="C394" i="1" l="1"/>
  <c r="E394" i="1"/>
  <c r="B395" i="1"/>
  <c r="C395" i="1" l="1"/>
  <c r="E395" i="1"/>
  <c r="B396" i="1"/>
  <c r="F394" i="1"/>
  <c r="F395" i="1" s="1"/>
  <c r="C396" i="1" l="1"/>
  <c r="E396" i="1"/>
  <c r="B397" i="1"/>
  <c r="C397" i="1" l="1"/>
  <c r="E397" i="1"/>
  <c r="B398" i="1"/>
  <c r="F396" i="1"/>
  <c r="F397" i="1" s="1"/>
  <c r="C398" i="1" l="1"/>
  <c r="E398" i="1"/>
  <c r="B399" i="1"/>
  <c r="C399" i="1" l="1"/>
  <c r="E399" i="1"/>
  <c r="B400" i="1"/>
  <c r="F398" i="1"/>
  <c r="F399" i="1" s="1"/>
  <c r="C400" i="1" l="1"/>
  <c r="E400" i="1"/>
  <c r="B401" i="1"/>
  <c r="C401" i="1" l="1"/>
  <c r="E401" i="1"/>
  <c r="B402" i="1"/>
  <c r="F400" i="1"/>
  <c r="F401" i="1" s="1"/>
  <c r="C402" i="1" l="1"/>
  <c r="E402" i="1"/>
  <c r="B403" i="1"/>
  <c r="C403" i="1" l="1"/>
  <c r="E403" i="1"/>
  <c r="B404" i="1"/>
  <c r="F402" i="1"/>
  <c r="F403" i="1" s="1"/>
  <c r="C404" i="1" l="1"/>
  <c r="E404" i="1"/>
  <c r="B405" i="1"/>
  <c r="C405" i="1" l="1"/>
  <c r="E405" i="1"/>
  <c r="B406" i="1"/>
  <c r="F404" i="1"/>
  <c r="F405" i="1" s="1"/>
  <c r="C406" i="1" l="1"/>
  <c r="E406" i="1"/>
  <c r="B407" i="1"/>
  <c r="C407" i="1" l="1"/>
  <c r="E407" i="1"/>
  <c r="B408" i="1"/>
  <c r="F406" i="1"/>
  <c r="F407" i="1" s="1"/>
  <c r="C408" i="1" l="1"/>
  <c r="E408" i="1"/>
  <c r="B409" i="1"/>
  <c r="C409" i="1" l="1"/>
  <c r="E409" i="1"/>
  <c r="B410" i="1"/>
  <c r="F408" i="1"/>
  <c r="F409" i="1" s="1"/>
  <c r="C410" i="1" l="1"/>
  <c r="E410" i="1"/>
  <c r="B411" i="1"/>
  <c r="C411" i="1" l="1"/>
  <c r="E411" i="1"/>
  <c r="B412" i="1"/>
  <c r="F410" i="1"/>
  <c r="F411" i="1" s="1"/>
  <c r="C412" i="1" l="1"/>
  <c r="E412" i="1"/>
  <c r="B413" i="1"/>
  <c r="C413" i="1" l="1"/>
  <c r="E413" i="1"/>
  <c r="B414" i="1"/>
  <c r="F412" i="1"/>
  <c r="F413" i="1" s="1"/>
  <c r="C414" i="1" l="1"/>
  <c r="E414" i="1"/>
  <c r="B415" i="1"/>
  <c r="C415" i="1" l="1"/>
  <c r="E415" i="1"/>
  <c r="B416" i="1"/>
  <c r="F414" i="1"/>
  <c r="F415" i="1" s="1"/>
  <c r="C416" i="1" l="1"/>
  <c r="E416" i="1"/>
  <c r="B417" i="1"/>
  <c r="C417" i="1" l="1"/>
  <c r="E417" i="1"/>
  <c r="B418" i="1"/>
  <c r="F416" i="1"/>
  <c r="F417" i="1" s="1"/>
  <c r="C418" i="1" l="1"/>
  <c r="E418" i="1"/>
  <c r="B419" i="1"/>
  <c r="C419" i="1" l="1"/>
  <c r="E419" i="1"/>
  <c r="B420" i="1"/>
  <c r="F418" i="1"/>
  <c r="F419" i="1" s="1"/>
  <c r="C420" i="1" l="1"/>
  <c r="E420" i="1"/>
  <c r="B421" i="1"/>
  <c r="C421" i="1" l="1"/>
  <c r="E421" i="1"/>
  <c r="B422" i="1"/>
  <c r="F420" i="1"/>
  <c r="F421" i="1" s="1"/>
  <c r="C422" i="1" l="1"/>
  <c r="E422" i="1"/>
  <c r="B423" i="1"/>
  <c r="C423" i="1" l="1"/>
  <c r="E423" i="1"/>
  <c r="B424" i="1"/>
  <c r="F422" i="1"/>
  <c r="F423" i="1" s="1"/>
  <c r="C424" i="1" l="1"/>
  <c r="E424" i="1"/>
  <c r="B425" i="1"/>
  <c r="C425" i="1" l="1"/>
  <c r="E425" i="1"/>
  <c r="B426" i="1"/>
  <c r="F424" i="1"/>
  <c r="F425" i="1" s="1"/>
  <c r="C426" i="1" l="1"/>
  <c r="E426" i="1"/>
  <c r="B427" i="1"/>
  <c r="C427" i="1" l="1"/>
  <c r="E427" i="1"/>
  <c r="B428" i="1"/>
  <c r="F426" i="1"/>
  <c r="F427" i="1" s="1"/>
  <c r="C428" i="1" l="1"/>
  <c r="E428" i="1"/>
  <c r="B429" i="1"/>
  <c r="C429" i="1" l="1"/>
  <c r="E429" i="1"/>
  <c r="B430" i="1"/>
  <c r="F428" i="1"/>
  <c r="F429" i="1" s="1"/>
  <c r="C430" i="1" l="1"/>
  <c r="E430" i="1"/>
  <c r="B431" i="1"/>
  <c r="C431" i="1" l="1"/>
  <c r="E431" i="1"/>
  <c r="B432" i="1"/>
  <c r="F430" i="1"/>
  <c r="F431" i="1" s="1"/>
  <c r="C432" i="1" l="1"/>
  <c r="E432" i="1"/>
  <c r="B433" i="1"/>
  <c r="C433" i="1" l="1"/>
  <c r="E433" i="1"/>
  <c r="B434" i="1"/>
  <c r="F432" i="1"/>
  <c r="F433" i="1" s="1"/>
  <c r="C434" i="1" l="1"/>
  <c r="E434" i="1"/>
  <c r="B435" i="1"/>
  <c r="C435" i="1" l="1"/>
  <c r="E435" i="1"/>
  <c r="B436" i="1"/>
  <c r="F434" i="1"/>
  <c r="F435" i="1" s="1"/>
  <c r="C436" i="1" l="1"/>
  <c r="E436" i="1"/>
  <c r="B437" i="1"/>
  <c r="C437" i="1" l="1"/>
  <c r="E437" i="1"/>
  <c r="B438" i="1"/>
  <c r="F436" i="1"/>
  <c r="F437" i="1" s="1"/>
  <c r="C438" i="1" l="1"/>
  <c r="E438" i="1"/>
  <c r="B439" i="1"/>
  <c r="C439" i="1" l="1"/>
  <c r="E439" i="1"/>
  <c r="B440" i="1"/>
  <c r="F438" i="1"/>
  <c r="F439" i="1" s="1"/>
  <c r="C440" i="1" l="1"/>
  <c r="E440" i="1"/>
  <c r="B441" i="1"/>
  <c r="C441" i="1" l="1"/>
  <c r="E441" i="1"/>
  <c r="B442" i="1"/>
  <c r="F440" i="1"/>
  <c r="F441" i="1" s="1"/>
  <c r="C442" i="1" l="1"/>
  <c r="E442" i="1"/>
  <c r="B443" i="1"/>
  <c r="C443" i="1" l="1"/>
  <c r="E443" i="1"/>
  <c r="B444" i="1"/>
  <c r="F442" i="1"/>
  <c r="F443" i="1" s="1"/>
  <c r="C444" i="1" l="1"/>
  <c r="E444" i="1"/>
  <c r="B445" i="1"/>
  <c r="C445" i="1" l="1"/>
  <c r="E445" i="1"/>
  <c r="B446" i="1"/>
  <c r="F444" i="1"/>
  <c r="F445" i="1" s="1"/>
  <c r="C446" i="1" l="1"/>
  <c r="E446" i="1"/>
  <c r="B447" i="1"/>
  <c r="C447" i="1" l="1"/>
  <c r="E447" i="1"/>
  <c r="B448" i="1"/>
  <c r="F446" i="1"/>
  <c r="F447" i="1" s="1"/>
  <c r="C448" i="1" l="1"/>
  <c r="E448" i="1"/>
  <c r="B449" i="1"/>
  <c r="C449" i="1" l="1"/>
  <c r="E449" i="1"/>
  <c r="B450" i="1"/>
  <c r="F448" i="1"/>
  <c r="F449" i="1" s="1"/>
  <c r="C450" i="1" l="1"/>
  <c r="E450" i="1"/>
  <c r="B451" i="1"/>
  <c r="C451" i="1" l="1"/>
  <c r="E451" i="1"/>
  <c r="B452" i="1"/>
  <c r="F450" i="1"/>
  <c r="F451" i="1" s="1"/>
  <c r="C452" i="1" l="1"/>
  <c r="E452" i="1"/>
  <c r="B453" i="1"/>
  <c r="C453" i="1" l="1"/>
  <c r="E453" i="1"/>
  <c r="B454" i="1"/>
  <c r="F452" i="1"/>
  <c r="F453" i="1" s="1"/>
  <c r="C454" i="1" l="1"/>
  <c r="E454" i="1"/>
  <c r="B455" i="1"/>
  <c r="C455" i="1" l="1"/>
  <c r="E455" i="1"/>
  <c r="B456" i="1"/>
  <c r="F454" i="1"/>
  <c r="F455" i="1" s="1"/>
  <c r="C456" i="1" l="1"/>
  <c r="E456" i="1"/>
  <c r="B457" i="1"/>
  <c r="C457" i="1" l="1"/>
  <c r="E457" i="1"/>
  <c r="B458" i="1"/>
  <c r="F456" i="1"/>
  <c r="F457" i="1" s="1"/>
  <c r="C458" i="1" l="1"/>
  <c r="E458" i="1"/>
  <c r="B459" i="1"/>
  <c r="C459" i="1" l="1"/>
  <c r="E459" i="1"/>
  <c r="B460" i="1"/>
  <c r="F458" i="1"/>
  <c r="F459" i="1" s="1"/>
  <c r="C460" i="1" l="1"/>
  <c r="E460" i="1"/>
  <c r="B461" i="1"/>
  <c r="C461" i="1" l="1"/>
  <c r="E461" i="1"/>
  <c r="B462" i="1"/>
  <c r="F460" i="1"/>
  <c r="F461" i="1" s="1"/>
  <c r="C462" i="1" l="1"/>
  <c r="E462" i="1"/>
  <c r="B463" i="1"/>
  <c r="C463" i="1" l="1"/>
  <c r="E463" i="1"/>
  <c r="B464" i="1"/>
  <c r="F462" i="1"/>
  <c r="F463" i="1" s="1"/>
  <c r="C464" i="1" l="1"/>
  <c r="E464" i="1"/>
  <c r="B465" i="1"/>
  <c r="C465" i="1" l="1"/>
  <c r="E465" i="1"/>
  <c r="B466" i="1"/>
  <c r="F464" i="1"/>
  <c r="F465" i="1" s="1"/>
  <c r="C466" i="1" l="1"/>
  <c r="E466" i="1"/>
  <c r="B467" i="1"/>
  <c r="C467" i="1" l="1"/>
  <c r="E467" i="1"/>
  <c r="B468" i="1"/>
  <c r="F466" i="1"/>
  <c r="F467" i="1" s="1"/>
  <c r="C468" i="1" l="1"/>
  <c r="E468" i="1"/>
  <c r="B469" i="1"/>
  <c r="C469" i="1" l="1"/>
  <c r="E469" i="1"/>
  <c r="B470" i="1"/>
  <c r="F468" i="1"/>
  <c r="F469" i="1" s="1"/>
  <c r="C470" i="1" l="1"/>
  <c r="E470" i="1"/>
  <c r="B471" i="1"/>
  <c r="C471" i="1" l="1"/>
  <c r="E471" i="1"/>
  <c r="B472" i="1"/>
  <c r="F470" i="1"/>
  <c r="F471" i="1" s="1"/>
  <c r="C472" i="1" l="1"/>
  <c r="E472" i="1"/>
  <c r="B473" i="1"/>
  <c r="C473" i="1" l="1"/>
  <c r="E473" i="1"/>
  <c r="B474" i="1"/>
  <c r="F472" i="1"/>
  <c r="F473" i="1" s="1"/>
  <c r="C474" i="1" l="1"/>
  <c r="E474" i="1"/>
  <c r="B475" i="1"/>
  <c r="C475" i="1" l="1"/>
  <c r="E475" i="1"/>
  <c r="B476" i="1"/>
  <c r="F474" i="1"/>
  <c r="F475" i="1" s="1"/>
  <c r="C476" i="1" l="1"/>
  <c r="E476" i="1"/>
  <c r="B477" i="1"/>
  <c r="C477" i="1" l="1"/>
  <c r="E477" i="1"/>
  <c r="B478" i="1"/>
  <c r="F476" i="1"/>
  <c r="F477" i="1" s="1"/>
  <c r="C478" i="1" l="1"/>
  <c r="E478" i="1"/>
  <c r="B479" i="1"/>
  <c r="C479" i="1" l="1"/>
  <c r="E479" i="1"/>
  <c r="B480" i="1"/>
  <c r="F478" i="1"/>
  <c r="F479" i="1" s="1"/>
  <c r="C480" i="1" l="1"/>
  <c r="E480" i="1"/>
  <c r="B481" i="1"/>
  <c r="C481" i="1" l="1"/>
  <c r="E481" i="1"/>
  <c r="B482" i="1"/>
  <c r="F480" i="1"/>
  <c r="F481" i="1" s="1"/>
  <c r="C482" i="1" l="1"/>
  <c r="E482" i="1"/>
  <c r="B483" i="1"/>
  <c r="C483" i="1" l="1"/>
  <c r="E483" i="1"/>
  <c r="B484" i="1"/>
  <c r="F482" i="1"/>
  <c r="F483" i="1" s="1"/>
  <c r="C484" i="1" l="1"/>
  <c r="E484" i="1"/>
  <c r="B485" i="1"/>
  <c r="C485" i="1" l="1"/>
  <c r="E485" i="1"/>
  <c r="B486" i="1"/>
  <c r="F484" i="1"/>
  <c r="F485" i="1" s="1"/>
  <c r="C486" i="1" l="1"/>
  <c r="E486" i="1"/>
  <c r="B487" i="1"/>
  <c r="C487" i="1" l="1"/>
  <c r="E487" i="1"/>
  <c r="B488" i="1"/>
  <c r="F486" i="1"/>
  <c r="F487" i="1" s="1"/>
  <c r="C488" i="1" l="1"/>
  <c r="E488" i="1"/>
  <c r="B489" i="1"/>
  <c r="C489" i="1" l="1"/>
  <c r="E489" i="1"/>
  <c r="B490" i="1"/>
  <c r="F488" i="1"/>
  <c r="F489" i="1" s="1"/>
  <c r="C490" i="1" l="1"/>
  <c r="E490" i="1"/>
  <c r="B491" i="1"/>
  <c r="C491" i="1" l="1"/>
  <c r="E491" i="1"/>
  <c r="B492" i="1"/>
  <c r="F490" i="1"/>
  <c r="F491" i="1" s="1"/>
  <c r="C492" i="1" l="1"/>
  <c r="E492" i="1"/>
  <c r="B493" i="1"/>
  <c r="C493" i="1" l="1"/>
  <c r="E493" i="1"/>
  <c r="B494" i="1"/>
  <c r="F492" i="1"/>
  <c r="F493" i="1" s="1"/>
  <c r="C494" i="1" l="1"/>
  <c r="E494" i="1"/>
  <c r="B495" i="1"/>
  <c r="C495" i="1" l="1"/>
  <c r="E495" i="1"/>
  <c r="B496" i="1"/>
  <c r="F494" i="1"/>
  <c r="F495" i="1" s="1"/>
  <c r="C496" i="1" l="1"/>
  <c r="E496" i="1"/>
  <c r="B497" i="1"/>
  <c r="C497" i="1" l="1"/>
  <c r="E497" i="1"/>
  <c r="B498" i="1"/>
  <c r="F496" i="1"/>
  <c r="F497" i="1" s="1"/>
  <c r="C498" i="1" l="1"/>
  <c r="E498" i="1"/>
  <c r="B499" i="1"/>
  <c r="C499" i="1" l="1"/>
  <c r="E499" i="1"/>
  <c r="B500" i="1"/>
  <c r="F498" i="1"/>
  <c r="F499" i="1" s="1"/>
  <c r="C500" i="1" l="1"/>
  <c r="E500" i="1"/>
  <c r="B501" i="1"/>
  <c r="C501" i="1" l="1"/>
  <c r="E501" i="1"/>
  <c r="B502" i="1"/>
  <c r="F500" i="1"/>
  <c r="F501" i="1" s="1"/>
  <c r="C502" i="1" l="1"/>
  <c r="E502" i="1"/>
  <c r="B503" i="1"/>
  <c r="C503" i="1" l="1"/>
  <c r="E503" i="1"/>
  <c r="B504" i="1"/>
  <c r="F502" i="1"/>
  <c r="F503" i="1" s="1"/>
  <c r="C504" i="1" l="1"/>
  <c r="E504" i="1"/>
  <c r="B505" i="1"/>
  <c r="C505" i="1" l="1"/>
  <c r="E505" i="1"/>
  <c r="B506" i="1"/>
  <c r="F504" i="1"/>
  <c r="F505" i="1" s="1"/>
  <c r="C506" i="1" l="1"/>
  <c r="E506" i="1"/>
  <c r="B507" i="1"/>
  <c r="C507" i="1" l="1"/>
  <c r="E507" i="1"/>
  <c r="B508" i="1"/>
  <c r="F506" i="1"/>
  <c r="F507" i="1" s="1"/>
  <c r="C508" i="1" l="1"/>
  <c r="E508" i="1"/>
  <c r="B509" i="1"/>
  <c r="C509" i="1" l="1"/>
  <c r="E509" i="1"/>
  <c r="B510" i="1"/>
  <c r="F508" i="1"/>
  <c r="F509" i="1" s="1"/>
  <c r="C510" i="1" l="1"/>
  <c r="E510" i="1"/>
  <c r="B511" i="1"/>
  <c r="C511" i="1" l="1"/>
  <c r="E511" i="1"/>
  <c r="B512" i="1"/>
  <c r="F510" i="1"/>
  <c r="F511" i="1" s="1"/>
  <c r="C512" i="1" l="1"/>
  <c r="E512" i="1"/>
  <c r="B513" i="1"/>
  <c r="C513" i="1" l="1"/>
  <c r="E513" i="1"/>
  <c r="B514" i="1"/>
  <c r="F512" i="1"/>
  <c r="F513" i="1" s="1"/>
  <c r="C514" i="1" l="1"/>
  <c r="E514" i="1"/>
  <c r="B515" i="1"/>
  <c r="C515" i="1" l="1"/>
  <c r="E515" i="1"/>
  <c r="B516" i="1"/>
  <c r="F514" i="1"/>
  <c r="F515" i="1" s="1"/>
  <c r="C516" i="1" l="1"/>
  <c r="E516" i="1"/>
  <c r="B517" i="1"/>
  <c r="C517" i="1" l="1"/>
  <c r="E517" i="1"/>
  <c r="B518" i="1"/>
  <c r="F516" i="1"/>
  <c r="F517" i="1" s="1"/>
  <c r="C518" i="1" l="1"/>
  <c r="E518" i="1"/>
  <c r="B519" i="1"/>
  <c r="C519" i="1" l="1"/>
  <c r="E519" i="1"/>
  <c r="B520" i="1"/>
  <c r="F518" i="1"/>
  <c r="F519" i="1" s="1"/>
  <c r="C520" i="1" l="1"/>
  <c r="E520" i="1"/>
  <c r="B521" i="1"/>
  <c r="C521" i="1" l="1"/>
  <c r="E521" i="1"/>
  <c r="B522" i="1"/>
  <c r="F520" i="1"/>
  <c r="F521" i="1" s="1"/>
  <c r="C522" i="1" l="1"/>
  <c r="E522" i="1"/>
  <c r="B523" i="1"/>
  <c r="C523" i="1" l="1"/>
  <c r="E523" i="1"/>
  <c r="B524" i="1"/>
  <c r="F522" i="1"/>
  <c r="F523" i="1" s="1"/>
  <c r="C524" i="1" l="1"/>
  <c r="E524" i="1"/>
  <c r="B525" i="1"/>
  <c r="C525" i="1" l="1"/>
  <c r="E525" i="1"/>
  <c r="B526" i="1"/>
  <c r="F524" i="1"/>
  <c r="F525" i="1" s="1"/>
  <c r="C526" i="1" l="1"/>
  <c r="E526" i="1"/>
  <c r="B527" i="1"/>
  <c r="C527" i="1" l="1"/>
  <c r="E527" i="1"/>
  <c r="B528" i="1"/>
  <c r="F526" i="1"/>
  <c r="F527" i="1" s="1"/>
  <c r="C528" i="1" l="1"/>
  <c r="E528" i="1"/>
  <c r="B529" i="1"/>
  <c r="C529" i="1" l="1"/>
  <c r="E529" i="1"/>
  <c r="B530" i="1"/>
  <c r="F528" i="1"/>
  <c r="F529" i="1" s="1"/>
  <c r="C530" i="1" l="1"/>
  <c r="E530" i="1"/>
  <c r="B531" i="1"/>
  <c r="C531" i="1" l="1"/>
  <c r="E531" i="1"/>
  <c r="B532" i="1"/>
  <c r="F530" i="1"/>
  <c r="F531" i="1" s="1"/>
  <c r="C532" i="1" l="1"/>
  <c r="E532" i="1"/>
  <c r="B533" i="1"/>
  <c r="C533" i="1" l="1"/>
  <c r="E533" i="1"/>
  <c r="B534" i="1"/>
  <c r="F532" i="1"/>
  <c r="F533" i="1" s="1"/>
  <c r="C534" i="1" l="1"/>
  <c r="E534" i="1"/>
  <c r="B535" i="1"/>
  <c r="C535" i="1" l="1"/>
  <c r="E535" i="1"/>
  <c r="B536" i="1"/>
  <c r="F534" i="1"/>
  <c r="F535" i="1" s="1"/>
  <c r="C536" i="1" l="1"/>
  <c r="E536" i="1"/>
  <c r="B537" i="1"/>
  <c r="C537" i="1" l="1"/>
  <c r="E537" i="1"/>
  <c r="B538" i="1"/>
  <c r="F536" i="1"/>
  <c r="F537" i="1" s="1"/>
  <c r="C538" i="1" l="1"/>
  <c r="E538" i="1"/>
  <c r="B539" i="1"/>
  <c r="C539" i="1" l="1"/>
  <c r="E539" i="1"/>
  <c r="B540" i="1"/>
  <c r="F538" i="1"/>
  <c r="F539" i="1" s="1"/>
  <c r="C540" i="1" l="1"/>
  <c r="E540" i="1"/>
  <c r="B541" i="1"/>
  <c r="C541" i="1" l="1"/>
  <c r="E541" i="1"/>
  <c r="B542" i="1"/>
  <c r="F540" i="1"/>
  <c r="F541" i="1" s="1"/>
  <c r="C542" i="1" l="1"/>
  <c r="E542" i="1"/>
  <c r="B543" i="1"/>
  <c r="C543" i="1" l="1"/>
  <c r="E543" i="1"/>
  <c r="B544" i="1"/>
  <c r="F542" i="1"/>
  <c r="F543" i="1" s="1"/>
  <c r="C544" i="1" l="1"/>
  <c r="E544" i="1"/>
  <c r="B545" i="1"/>
  <c r="C545" i="1" l="1"/>
  <c r="E545" i="1"/>
  <c r="B546" i="1"/>
  <c r="F544" i="1"/>
  <c r="F545" i="1" s="1"/>
  <c r="C546" i="1" l="1"/>
  <c r="E546" i="1"/>
  <c r="B547" i="1"/>
  <c r="C547" i="1" l="1"/>
  <c r="E547" i="1"/>
  <c r="B548" i="1"/>
  <c r="F546" i="1"/>
  <c r="F547" i="1" s="1"/>
  <c r="C548" i="1" l="1"/>
  <c r="E548" i="1"/>
  <c r="B549" i="1"/>
  <c r="C549" i="1" l="1"/>
  <c r="E549" i="1"/>
  <c r="B550" i="1"/>
  <c r="F548" i="1"/>
  <c r="F549" i="1" s="1"/>
  <c r="C550" i="1" l="1"/>
  <c r="E550" i="1"/>
  <c r="B551" i="1"/>
  <c r="C551" i="1" l="1"/>
  <c r="E551" i="1"/>
  <c r="B552" i="1"/>
  <c r="F550" i="1"/>
  <c r="F551" i="1" s="1"/>
  <c r="C552" i="1" l="1"/>
  <c r="E552" i="1"/>
  <c r="B553" i="1"/>
  <c r="C553" i="1" l="1"/>
  <c r="E553" i="1"/>
  <c r="B554" i="1"/>
  <c r="F552" i="1"/>
  <c r="F553" i="1" s="1"/>
  <c r="C554" i="1" l="1"/>
  <c r="E554" i="1"/>
  <c r="B555" i="1"/>
  <c r="C555" i="1" l="1"/>
  <c r="E555" i="1"/>
  <c r="B556" i="1"/>
  <c r="F554" i="1"/>
  <c r="F555" i="1" s="1"/>
  <c r="C556" i="1" l="1"/>
  <c r="E556" i="1"/>
  <c r="B557" i="1"/>
  <c r="C557" i="1" l="1"/>
  <c r="E557" i="1"/>
  <c r="B558" i="1"/>
  <c r="F556" i="1"/>
  <c r="F557" i="1" s="1"/>
  <c r="C558" i="1" l="1"/>
  <c r="E558" i="1"/>
  <c r="B559" i="1"/>
  <c r="C559" i="1" l="1"/>
  <c r="E559" i="1"/>
  <c r="B560" i="1"/>
  <c r="F558" i="1"/>
  <c r="F559" i="1" s="1"/>
  <c r="C560" i="1" l="1"/>
  <c r="E560" i="1"/>
  <c r="B561" i="1"/>
  <c r="C561" i="1" l="1"/>
  <c r="E561" i="1"/>
  <c r="B562" i="1"/>
  <c r="F560" i="1"/>
  <c r="F561" i="1" s="1"/>
  <c r="C562" i="1" l="1"/>
  <c r="E562" i="1"/>
  <c r="B563" i="1"/>
  <c r="C563" i="1" l="1"/>
  <c r="E563" i="1"/>
  <c r="B564" i="1"/>
  <c r="F562" i="1"/>
  <c r="F563" i="1" s="1"/>
  <c r="C564" i="1" l="1"/>
  <c r="E564" i="1"/>
  <c r="B565" i="1"/>
  <c r="C565" i="1" l="1"/>
  <c r="E565" i="1"/>
  <c r="B566" i="1"/>
  <c r="F564" i="1"/>
  <c r="F565" i="1" s="1"/>
  <c r="C566" i="1" l="1"/>
  <c r="E566" i="1"/>
  <c r="B567" i="1"/>
  <c r="C567" i="1" l="1"/>
  <c r="E567" i="1"/>
  <c r="B568" i="1"/>
  <c r="F566" i="1"/>
  <c r="F567" i="1" s="1"/>
  <c r="C568" i="1" l="1"/>
  <c r="E568" i="1"/>
  <c r="B569" i="1"/>
  <c r="C569" i="1" l="1"/>
  <c r="E569" i="1"/>
  <c r="B570" i="1"/>
  <c r="F568" i="1"/>
  <c r="F569" i="1" s="1"/>
  <c r="C570" i="1" l="1"/>
  <c r="E570" i="1"/>
  <c r="B571" i="1"/>
  <c r="C571" i="1" l="1"/>
  <c r="E571" i="1"/>
  <c r="B572" i="1"/>
  <c r="F570" i="1"/>
  <c r="F571" i="1" s="1"/>
  <c r="C572" i="1" l="1"/>
  <c r="E572" i="1"/>
  <c r="B573" i="1"/>
  <c r="C573" i="1" l="1"/>
  <c r="E573" i="1"/>
  <c r="B574" i="1"/>
  <c r="F572" i="1"/>
  <c r="F573" i="1" s="1"/>
  <c r="C574" i="1" l="1"/>
  <c r="E574" i="1"/>
  <c r="B575" i="1"/>
  <c r="C575" i="1" l="1"/>
  <c r="E575" i="1"/>
  <c r="B576" i="1"/>
  <c r="F574" i="1"/>
  <c r="F575" i="1" s="1"/>
  <c r="C576" i="1" l="1"/>
  <c r="E576" i="1"/>
  <c r="B577" i="1"/>
  <c r="C577" i="1" l="1"/>
  <c r="E577" i="1"/>
  <c r="B578" i="1"/>
  <c r="F576" i="1"/>
  <c r="F577" i="1" s="1"/>
  <c r="C578" i="1" l="1"/>
  <c r="E578" i="1"/>
  <c r="B579" i="1"/>
  <c r="C579" i="1" l="1"/>
  <c r="E579" i="1"/>
  <c r="B580" i="1"/>
  <c r="F578" i="1"/>
  <c r="F579" i="1" s="1"/>
  <c r="C580" i="1" l="1"/>
  <c r="E580" i="1"/>
  <c r="B581" i="1"/>
  <c r="C581" i="1" l="1"/>
  <c r="E581" i="1"/>
  <c r="B582" i="1"/>
  <c r="F580" i="1"/>
  <c r="F581" i="1" s="1"/>
  <c r="C582" i="1" l="1"/>
  <c r="E582" i="1"/>
  <c r="B583" i="1"/>
  <c r="C583" i="1" l="1"/>
  <c r="E583" i="1"/>
  <c r="B584" i="1"/>
  <c r="F582" i="1"/>
  <c r="F583" i="1" s="1"/>
  <c r="C584" i="1" l="1"/>
  <c r="E584" i="1"/>
  <c r="B585" i="1"/>
  <c r="C585" i="1" l="1"/>
  <c r="E585" i="1"/>
  <c r="B586" i="1"/>
  <c r="F584" i="1"/>
  <c r="F585" i="1" s="1"/>
  <c r="C586" i="1" l="1"/>
  <c r="E586" i="1"/>
  <c r="B587" i="1"/>
  <c r="C587" i="1" l="1"/>
  <c r="E587" i="1"/>
  <c r="B588" i="1"/>
  <c r="F586" i="1"/>
  <c r="F587" i="1" s="1"/>
  <c r="C588" i="1" l="1"/>
  <c r="E588" i="1"/>
  <c r="B589" i="1"/>
  <c r="C589" i="1" l="1"/>
  <c r="E589" i="1"/>
  <c r="B590" i="1"/>
  <c r="F588" i="1"/>
  <c r="F589" i="1" s="1"/>
  <c r="C590" i="1" l="1"/>
  <c r="E590" i="1"/>
  <c r="B591" i="1"/>
  <c r="C591" i="1" l="1"/>
  <c r="E591" i="1"/>
  <c r="B592" i="1"/>
  <c r="F590" i="1"/>
  <c r="F591" i="1" s="1"/>
  <c r="C592" i="1" l="1"/>
  <c r="E592" i="1"/>
  <c r="B593" i="1"/>
  <c r="C593" i="1" l="1"/>
  <c r="E593" i="1"/>
  <c r="B594" i="1"/>
  <c r="F592" i="1"/>
  <c r="F593" i="1" s="1"/>
  <c r="C594" i="1" l="1"/>
  <c r="E594" i="1"/>
  <c r="B595" i="1"/>
  <c r="C595" i="1" l="1"/>
  <c r="E595" i="1"/>
  <c r="B596" i="1"/>
  <c r="F594" i="1"/>
  <c r="F595" i="1" s="1"/>
  <c r="C596" i="1" l="1"/>
  <c r="E596" i="1"/>
  <c r="B597" i="1"/>
  <c r="C597" i="1" l="1"/>
  <c r="E597" i="1"/>
  <c r="B598" i="1"/>
  <c r="F596" i="1"/>
  <c r="F597" i="1" s="1"/>
  <c r="C598" i="1" l="1"/>
  <c r="E598" i="1"/>
  <c r="B599" i="1"/>
  <c r="C599" i="1" l="1"/>
  <c r="E599" i="1"/>
  <c r="B600" i="1"/>
  <c r="F598" i="1"/>
  <c r="F599" i="1" s="1"/>
  <c r="C600" i="1" l="1"/>
  <c r="E600" i="1"/>
  <c r="B601" i="1"/>
  <c r="C601" i="1" l="1"/>
  <c r="E601" i="1"/>
  <c r="B602" i="1"/>
  <c r="F600" i="1"/>
  <c r="F601" i="1" s="1"/>
  <c r="C602" i="1" l="1"/>
  <c r="E602" i="1"/>
  <c r="B603" i="1"/>
  <c r="C603" i="1" l="1"/>
  <c r="E603" i="1"/>
  <c r="B604" i="1"/>
  <c r="F602" i="1"/>
  <c r="F603" i="1" s="1"/>
  <c r="C604" i="1" l="1"/>
  <c r="E604" i="1"/>
  <c r="B605" i="1"/>
  <c r="C605" i="1" l="1"/>
  <c r="E605" i="1"/>
  <c r="B606" i="1"/>
  <c r="F604" i="1"/>
  <c r="F605" i="1" s="1"/>
  <c r="C606" i="1" l="1"/>
  <c r="E606" i="1"/>
  <c r="B607" i="1"/>
  <c r="C607" i="1" l="1"/>
  <c r="E607" i="1"/>
  <c r="B608" i="1"/>
  <c r="F606" i="1"/>
  <c r="F607" i="1" s="1"/>
  <c r="C608" i="1" l="1"/>
  <c r="E608" i="1"/>
  <c r="B609" i="1"/>
  <c r="C609" i="1" l="1"/>
  <c r="E609" i="1"/>
  <c r="B610" i="1"/>
  <c r="F608" i="1"/>
  <c r="F609" i="1" s="1"/>
  <c r="C610" i="1" l="1"/>
  <c r="E610" i="1"/>
  <c r="B611" i="1"/>
  <c r="C611" i="1" l="1"/>
  <c r="E611" i="1"/>
  <c r="B612" i="1"/>
  <c r="F610" i="1"/>
  <c r="F611" i="1" s="1"/>
  <c r="C612" i="1" l="1"/>
  <c r="E612" i="1"/>
  <c r="B613" i="1"/>
  <c r="C613" i="1" l="1"/>
  <c r="E613" i="1"/>
  <c r="B614" i="1"/>
  <c r="F612" i="1"/>
  <c r="F613" i="1" s="1"/>
  <c r="C614" i="1" l="1"/>
  <c r="E614" i="1"/>
  <c r="B615" i="1"/>
  <c r="C615" i="1" l="1"/>
  <c r="E615" i="1"/>
  <c r="B616" i="1"/>
  <c r="F614" i="1"/>
  <c r="F615" i="1" s="1"/>
  <c r="C616" i="1" l="1"/>
  <c r="E616" i="1"/>
  <c r="B617" i="1"/>
  <c r="C617" i="1" l="1"/>
  <c r="E617" i="1"/>
  <c r="B618" i="1"/>
  <c r="F616" i="1"/>
  <c r="F617" i="1" s="1"/>
  <c r="C618" i="1" l="1"/>
  <c r="E618" i="1"/>
  <c r="B619" i="1"/>
  <c r="C619" i="1" l="1"/>
  <c r="E619" i="1"/>
  <c r="B620" i="1"/>
  <c r="F618" i="1"/>
  <c r="F619" i="1" s="1"/>
  <c r="C620" i="1" l="1"/>
  <c r="E620" i="1"/>
  <c r="B621" i="1"/>
  <c r="C621" i="1" l="1"/>
  <c r="E621" i="1"/>
  <c r="B622" i="1"/>
  <c r="F620" i="1"/>
  <c r="F621" i="1" s="1"/>
  <c r="C622" i="1" l="1"/>
  <c r="E622" i="1"/>
  <c r="B623" i="1"/>
  <c r="C623" i="1" l="1"/>
  <c r="E623" i="1"/>
  <c r="B624" i="1"/>
  <c r="F622" i="1"/>
  <c r="F623" i="1" s="1"/>
  <c r="C624" i="1" l="1"/>
  <c r="E624" i="1"/>
  <c r="B625" i="1"/>
  <c r="C625" i="1" l="1"/>
  <c r="E625" i="1"/>
  <c r="B626" i="1"/>
  <c r="F624" i="1"/>
  <c r="F625" i="1" s="1"/>
  <c r="C626" i="1" l="1"/>
  <c r="E626" i="1"/>
  <c r="B627" i="1"/>
  <c r="C627" i="1" l="1"/>
  <c r="E627" i="1"/>
  <c r="B628" i="1"/>
  <c r="F626" i="1"/>
  <c r="F627" i="1" s="1"/>
  <c r="C628" i="1" l="1"/>
  <c r="E628" i="1"/>
  <c r="B629" i="1"/>
  <c r="C629" i="1" l="1"/>
  <c r="E629" i="1"/>
  <c r="B630" i="1"/>
  <c r="F628" i="1"/>
  <c r="F629" i="1" s="1"/>
  <c r="C630" i="1" l="1"/>
  <c r="E630" i="1"/>
  <c r="B631" i="1"/>
  <c r="C631" i="1" l="1"/>
  <c r="E631" i="1"/>
  <c r="B632" i="1"/>
  <c r="F630" i="1"/>
  <c r="F631" i="1" s="1"/>
  <c r="C632" i="1" l="1"/>
  <c r="E632" i="1"/>
  <c r="B633" i="1"/>
  <c r="C633" i="1" l="1"/>
  <c r="E633" i="1"/>
  <c r="B634" i="1"/>
  <c r="F632" i="1"/>
  <c r="F633" i="1" s="1"/>
  <c r="C634" i="1" l="1"/>
  <c r="E634" i="1"/>
  <c r="B635" i="1"/>
  <c r="C635" i="1" l="1"/>
  <c r="E635" i="1"/>
  <c r="B636" i="1"/>
  <c r="F634" i="1"/>
  <c r="F635" i="1" s="1"/>
  <c r="C636" i="1" l="1"/>
  <c r="E636" i="1"/>
  <c r="B637" i="1"/>
  <c r="C637" i="1" l="1"/>
  <c r="E637" i="1"/>
  <c r="B638" i="1"/>
  <c r="F636" i="1"/>
  <c r="F637" i="1" s="1"/>
  <c r="C638" i="1" l="1"/>
  <c r="E638" i="1"/>
  <c r="B639" i="1"/>
  <c r="C639" i="1" l="1"/>
  <c r="E639" i="1"/>
  <c r="B640" i="1"/>
  <c r="F638" i="1"/>
  <c r="F639" i="1" s="1"/>
  <c r="C640" i="1" l="1"/>
  <c r="E640" i="1"/>
  <c r="B641" i="1"/>
  <c r="C641" i="1" l="1"/>
  <c r="E641" i="1"/>
  <c r="B642" i="1"/>
  <c r="F640" i="1"/>
  <c r="F641" i="1" s="1"/>
  <c r="C642" i="1" l="1"/>
  <c r="E642" i="1"/>
  <c r="B643" i="1"/>
  <c r="C643" i="1" l="1"/>
  <c r="E643" i="1"/>
  <c r="B644" i="1"/>
  <c r="F642" i="1"/>
  <c r="F643" i="1" s="1"/>
  <c r="C644" i="1" l="1"/>
  <c r="E644" i="1"/>
  <c r="B645" i="1"/>
  <c r="C645" i="1" l="1"/>
  <c r="E645" i="1"/>
  <c r="B646" i="1"/>
  <c r="F644" i="1"/>
  <c r="F645" i="1" s="1"/>
  <c r="C646" i="1" l="1"/>
  <c r="E646" i="1"/>
  <c r="B647" i="1"/>
  <c r="C647" i="1" l="1"/>
  <c r="E647" i="1"/>
  <c r="B648" i="1"/>
  <c r="F646" i="1"/>
  <c r="F647" i="1" s="1"/>
  <c r="C648" i="1" l="1"/>
  <c r="E648" i="1"/>
  <c r="B649" i="1"/>
  <c r="C649" i="1" l="1"/>
  <c r="E649" i="1"/>
  <c r="B650" i="1"/>
  <c r="B652" i="1"/>
  <c r="F648" i="1"/>
  <c r="F649" i="1" s="1"/>
  <c r="E650" i="1" l="1"/>
  <c r="E652" i="1"/>
  <c r="B12" i="1" l="1"/>
  <c r="C652" i="1"/>
  <c r="F650" i="1"/>
  <c r="F651" i="1" s="1"/>
  <c r="A12" i="1" s="1"/>
  <c r="F652" i="1" l="1"/>
  <c r="D653" i="1" l="1"/>
  <c r="B653" i="1"/>
  <c r="E653" i="1"/>
  <c r="C653" i="1"/>
</calcChain>
</file>

<file path=xl/sharedStrings.xml><?xml version="1.0" encoding="utf-8"?>
<sst xmlns="http://schemas.openxmlformats.org/spreadsheetml/2006/main" count="845" uniqueCount="819">
  <si>
    <t>B3TR Total Supply</t>
  </si>
  <si>
    <t>Plan to be released in 12 years</t>
  </si>
  <si>
    <t>Voter Rewards</t>
  </si>
  <si>
    <t>Allocation Decay</t>
  </si>
  <si>
    <t>Y1</t>
  </si>
  <si>
    <t>Dep Rate</t>
  </si>
  <si>
    <t>96,0%</t>
  </si>
  <si>
    <t>Y2</t>
  </si>
  <si>
    <t>DAO Reserve</t>
  </si>
  <si>
    <t>Y3</t>
  </si>
  <si>
    <t>Voter Reward Ratio - Y1</t>
  </si>
  <si>
    <t>Y4</t>
  </si>
  <si>
    <t>Voter Reward Ratio - Y2</t>
  </si>
  <si>
    <t>Y5</t>
  </si>
  <si>
    <t>Voter Reward Ratio - Y3</t>
  </si>
  <si>
    <t>Phase 0 - Pilot Show</t>
  </si>
  <si>
    <t>3 Months</t>
  </si>
  <si>
    <t>X DApp Allocations</t>
  </si>
  <si>
    <t>Voters Reward</t>
  </si>
  <si>
    <t>Airdrop</t>
  </si>
  <si>
    <t>Voter Reward Ratio - Y4</t>
  </si>
  <si>
    <t>Seed Project</t>
  </si>
  <si>
    <t>Voter Reward Ratio - Y5</t>
  </si>
  <si>
    <t>Total Supply (634th week)</t>
  </si>
  <si>
    <t xml:space="preserve"> DAO Reserve </t>
  </si>
  <si>
    <t>Phase I - Build Y1</t>
  </si>
  <si>
    <t>Vote by VOT3</t>
  </si>
  <si>
    <t>Dep Time</t>
  </si>
  <si>
    <t>12W</t>
  </si>
  <si>
    <t>Workings</t>
  </si>
  <si>
    <t>weeks</t>
  </si>
  <si>
    <t>X DAPP Allocations</t>
  </si>
  <si>
    <t>Reward to Voters</t>
  </si>
  <si>
    <t>Token Supply</t>
  </si>
  <si>
    <t>Inflation Rate</t>
  </si>
  <si>
    <t>Monday-Thurs</t>
  </si>
  <si>
    <t>Proposal Time</t>
  </si>
  <si>
    <t>Formats of Projects</t>
  </si>
  <si>
    <t>W0 - Pilot Show</t>
  </si>
  <si>
    <t>Friday-Sunday</t>
  </si>
  <si>
    <t>Voting Time</t>
  </si>
  <si>
    <t>VTHO Lock in to swap VeVo</t>
  </si>
  <si>
    <t>Use VeVo to Vote</t>
  </si>
  <si>
    <t>W1</t>
  </si>
  <si>
    <t>Sunday</t>
  </si>
  <si>
    <t>Auto Allocation</t>
  </si>
  <si>
    <t xml:space="preserve">B3TR by %, </t>
  </si>
  <si>
    <t>W2</t>
  </si>
  <si>
    <t>Auto Reward to Voter</t>
  </si>
  <si>
    <t>B3TR by %</t>
  </si>
  <si>
    <t>W3</t>
  </si>
  <si>
    <t>25% of total weekly allocation</t>
  </si>
  <si>
    <t>W4</t>
  </si>
  <si>
    <t>W5</t>
  </si>
  <si>
    <t>W6</t>
  </si>
  <si>
    <t>W7</t>
  </si>
  <si>
    <t>Year</t>
  </si>
  <si>
    <t>Avg Yearly Inflation Rate</t>
  </si>
  <si>
    <t>W8</t>
  </si>
  <si>
    <t>Year 1</t>
  </si>
  <si>
    <t>W9</t>
  </si>
  <si>
    <t>Year 2</t>
  </si>
  <si>
    <t>W10</t>
  </si>
  <si>
    <t>Year 3</t>
  </si>
  <si>
    <t>W11</t>
  </si>
  <si>
    <t>Year 4</t>
  </si>
  <si>
    <t>W12</t>
  </si>
  <si>
    <t>Year 5</t>
  </si>
  <si>
    <t>W13</t>
  </si>
  <si>
    <t>Year 6</t>
  </si>
  <si>
    <t>W14</t>
  </si>
  <si>
    <t>Year 7</t>
  </si>
  <si>
    <t>W15</t>
  </si>
  <si>
    <t>Year 8</t>
  </si>
  <si>
    <t>W16</t>
  </si>
  <si>
    <t>Year 9</t>
  </si>
  <si>
    <t>W17</t>
  </si>
  <si>
    <t>Year 10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</si>
  <si>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</si>
  <si>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</si>
  <si>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</si>
  <si>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</si>
  <si>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</si>
  <si>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</si>
  <si>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</si>
  <si>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</si>
  <si>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</si>
  <si>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</si>
  <si>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</si>
  <si>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</si>
  <si>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</si>
  <si>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</si>
  <si>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</si>
  <si>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</si>
  <si>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</si>
  <si>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</si>
  <si>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</si>
  <si>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</si>
  <si>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</si>
  <si>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</si>
  <si>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</si>
  <si>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</si>
  <si>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</si>
  <si>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</si>
  <si>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</si>
  <si>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</si>
  <si>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</si>
  <si>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</si>
  <si>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</si>
  <si>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</si>
  <si>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</si>
  <si>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</si>
  <si>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</si>
  <si>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</si>
  <si>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</si>
  <si>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</si>
  <si>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</si>
  <si>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</si>
  <si>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</si>
  <si>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</si>
  <si>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</si>
  <si>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</si>
  <si>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</si>
  <si>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</si>
  <si>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</si>
  <si>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</si>
  <si>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</si>
  <si>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</si>
  <si>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</si>
  <si>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</si>
  <si>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</si>
  <si>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</si>
  <si>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</si>
  <si>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</si>
  <si>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</si>
  <si>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</si>
  <si>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</si>
  <si>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</si>
  <si>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</si>
  <si>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</si>
  <si>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</si>
  <si>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</si>
  <si>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</si>
  <si>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</si>
  <si>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</si>
  <si>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</si>
  <si>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</si>
  <si>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</si>
  <si>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</si>
  <si>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</si>
  <si>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</si>
  <si>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</si>
  <si>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</si>
  <si>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</si>
  <si>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</si>
  <si>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</si>
  <si>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</si>
  <si>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</si>
  <si>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</si>
  <si>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</si>
  <si>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</si>
  <si>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</si>
  <si>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</si>
  <si>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</si>
  <si>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</si>
  <si>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</si>
  <si>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</si>
  <si>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</si>
  <si>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</si>
  <si>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</si>
  <si>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</si>
  <si>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</si>
  <si>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</si>
  <si>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</si>
  <si>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</si>
  <si>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</si>
  <si>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</si>
  <si>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</si>
  <si>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</si>
  <si>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</si>
  <si>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</si>
  <si>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</si>
  <si>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</si>
  <si>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</si>
  <si>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</si>
  <si>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</si>
  <si>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</si>
  <si>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</si>
  <si>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</si>
  <si>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</si>
  <si>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</si>
  <si>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</si>
  <si>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</si>
  <si>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</si>
  <si>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</si>
  <si>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</si>
  <si>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</si>
  <si>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</si>
  <si>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</si>
  <si>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</si>
  <si>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</si>
  <si>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</si>
  <si>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</si>
  <si>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</si>
  <si>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</si>
  <si>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</si>
  <si>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</si>
  <si>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</si>
  <si>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</si>
  <si>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</si>
  <si>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</si>
  <si>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</si>
  <si>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</si>
  <si>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</si>
  <si>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</si>
  <si>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</si>
  <si>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</si>
  <si>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</si>
  <si>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</si>
  <si>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</si>
  <si>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</si>
  <si>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</si>
  <si>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</si>
  <si>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</si>
  <si>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</si>
  <si>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</si>
  <si>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</si>
  <si>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</si>
  <si>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</si>
  <si>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</si>
  <si>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</si>
  <si>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</si>
  <si>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</si>
  <si>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</si>
  <si>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</si>
  <si>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</si>
  <si>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</si>
  <si>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</si>
  <si>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</si>
  <si>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</si>
  <si>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</si>
  <si>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</si>
  <si>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</si>
  <si>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</si>
  <si>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</si>
  <si>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</si>
  <si>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</si>
  <si>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</si>
  <si>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</si>
  <si>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</si>
  <si>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</si>
  <si>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</si>
  <si>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</si>
  <si>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</si>
  <si>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</si>
  <si>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</si>
  <si>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</si>
  <si>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</si>
  <si>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</si>
  <si>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</si>
  <si>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</si>
  <si>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</si>
  <si>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</si>
  <si>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</si>
  <si>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</si>
  <si>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</si>
  <si>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</si>
  <si>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</si>
  <si>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</si>
  <si>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</si>
  <si>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</si>
  <si>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</si>
  <si>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</si>
  <si>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</si>
  <si>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</si>
  <si>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</si>
  <si>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</si>
  <si>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</si>
  <si>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</si>
  <si>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</si>
  <si>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</si>
  <si>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</si>
  <si>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</si>
  <si>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</si>
  <si>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</si>
  <si>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</si>
  <si>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</si>
  <si>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</si>
  <si>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</si>
  <si>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</si>
  <si>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</si>
  <si>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</si>
  <si>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</si>
  <si>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</si>
  <si>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</si>
  <si>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</si>
  <si>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</si>
  <si>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</si>
  <si>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</si>
  <si>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</si>
  <si>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</si>
  <si>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</si>
  <si>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</si>
  <si>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</si>
  <si>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</si>
  <si>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</si>
  <si>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</si>
  <si>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</si>
  <si>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</si>
  <si>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</si>
  <si>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</si>
  <si>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</si>
  <si>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</si>
  <si>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</si>
  <si>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</si>
  <si>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</si>
  <si>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</si>
  <si>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</si>
  <si>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</si>
  <si>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</si>
  <si>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</si>
  <si>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</si>
  <si>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</si>
  <si>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</si>
  <si>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</si>
  <si>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</si>
  <si>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</si>
  <si>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</si>
  <si>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</si>
  <si>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</si>
  <si>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</si>
  <si>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</si>
  <si>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</si>
  <si>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</si>
  <si>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</si>
  <si>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</si>
  <si>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</si>
  <si>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</si>
  <si>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</si>
  <si>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</si>
  <si>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</si>
  <si>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</si>
  <si>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</si>
  <si>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</si>
  <si>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</si>
  <si>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</si>
  <si>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</si>
  <si>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</si>
  <si>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</si>
  <si>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</si>
  <si>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</si>
  <si>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</si>
  <si>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</si>
  <si>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</si>
  <si>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</si>
  <si>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</si>
  <si>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</si>
  <si>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</si>
  <si>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</si>
  <si>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</si>
  <si>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</si>
  <si>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</si>
  <si>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</si>
  <si>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</si>
  <si>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</si>
  <si>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</si>
  <si>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</si>
  <si>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</si>
  <si>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</si>
  <si>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</si>
  <si>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</si>
  <si>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</si>
  <si>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</si>
  <si>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</si>
  <si>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</si>
  <si>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</si>
  <si>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</si>
  <si>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</si>
  <si>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</si>
  <si>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</si>
  <si>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</si>
  <si>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</si>
  <si>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</si>
  <si>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</si>
  <si>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</si>
  <si>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</si>
  <si>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</si>
  <si>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</si>
  <si>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</si>
  <si>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</si>
  <si>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</si>
  <si>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</si>
  <si>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</si>
  <si>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</si>
  <si>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</si>
  <si>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</si>
  <si>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</si>
  <si>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</si>
  <si>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</si>
  <si>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</si>
  <si>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</si>
  <si>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</si>
  <si>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</si>
  <si>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</si>
  <si>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</si>
  <si>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</si>
  <si>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</si>
  <si>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</si>
  <si>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</si>
  <si>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</si>
  <si>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</si>
  <si>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</si>
  <si>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</si>
  <si>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</si>
  <si>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</si>
  <si>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</si>
  <si>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</si>
  <si>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</si>
  <si>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</si>
  <si>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</si>
  <si>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</si>
  <si>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</si>
  <si>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</si>
  <si>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</si>
  <si>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</si>
  <si>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</si>
  <si>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</si>
  <si>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</si>
  <si>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</si>
  <si>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</si>
  <si>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</si>
  <si>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</si>
  <si>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</si>
  <si>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</si>
  <si>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</si>
  <si>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</si>
  <si>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</si>
  <si>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</si>
  <si>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</si>
  <si>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</si>
  <si>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</si>
  <si>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</si>
  <si>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</si>
  <si>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</si>
  <si>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</si>
  <si>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</si>
  <si>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</si>
  <si>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</si>
  <si>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</si>
  <si>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</si>
  <si>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</si>
  <si>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</si>
  <si>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</si>
  <si>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</si>
  <si>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</si>
  <si>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</si>
  <si>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</si>
  <si>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</si>
  <si>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</si>
  <si>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</si>
  <si>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</si>
  <si>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</si>
  <si>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</si>
  <si>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</si>
  <si>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</si>
  <si>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</si>
  <si>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</si>
  <si>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</si>
  <si>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</si>
  <si>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</si>
  <si>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</si>
  <si>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</si>
  <si>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</si>
  <si>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</si>
  <si>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</si>
  <si>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</si>
  <si>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</si>
  <si>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</si>
  <si>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</si>
  <si>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</si>
  <si>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</si>
  <si>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</si>
  <si>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</si>
  <si>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</si>
  <si>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</si>
  <si>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</si>
  <si>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</si>
  <si>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</si>
  <si>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</si>
  <si>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</si>
  <si>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</si>
  <si>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</si>
  <si>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</si>
  <si>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</si>
  <si>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</si>
  <si>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</si>
  <si>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</si>
  <si>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</si>
  <si>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</si>
  <si>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</si>
  <si>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</si>
  <si>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</si>
  <si>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</si>
  <si>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</si>
  <si>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</si>
  <si>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</si>
  <si>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</si>
  <si>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</si>
  <si>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</si>
  <si>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</si>
  <si>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</si>
  <si>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</si>
  <si>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</si>
  <si>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</si>
  <si>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</si>
  <si>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</si>
  <si>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</si>
  <si>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</si>
  <si>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</si>
  <si>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</si>
  <si>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</si>
  <si>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</si>
  <si>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</si>
  <si>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</si>
  <si>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</si>
  <si>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</si>
  <si>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</si>
  <si>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</si>
  <si>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</si>
  <si>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</si>
  <si>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</si>
  <si>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W471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</si>
  <si>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</si>
  <si>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</si>
  <si>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</si>
  <si>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</si>
  <si>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</si>
  <si>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</si>
  <si>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</si>
  <si>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</si>
  <si>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</si>
  <si>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</si>
  <si>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</si>
  <si>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</si>
  <si>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</si>
  <si>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</si>
  <si>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</si>
  <si>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</si>
  <si>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</si>
  <si>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</si>
  <si>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</si>
  <si>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</si>
  <si>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</si>
  <si>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</si>
  <si>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</si>
  <si>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</si>
  <si>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</si>
  <si>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</si>
  <si>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</si>
  <si>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</si>
  <si>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</si>
  <si>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</si>
  <si>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</si>
  <si>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</si>
  <si>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</si>
  <si>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</si>
  <si>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</si>
  <si>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</si>
  <si>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</si>
  <si>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</si>
  <si>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</si>
  <si>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</si>
  <si>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</si>
  <si>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</si>
  <si>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</si>
  <si>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</si>
  <si>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</si>
  <si>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</si>
  <si>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</si>
  <si>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</si>
  <si>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</si>
  <si>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</si>
  <si>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</si>
  <si>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</si>
  <si>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</si>
  <si>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</si>
  <si>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</si>
  <si>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</si>
  <si>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</si>
  <si>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</si>
  <si>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</si>
  <si>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</si>
  <si>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</si>
  <si>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</si>
  <si>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</si>
  <si>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</si>
  <si>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</si>
  <si>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</si>
  <si>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</si>
  <si>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</si>
  <si>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</si>
  <si>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</si>
  <si>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</si>
  <si>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</si>
  <si>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</si>
  <si>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</si>
  <si>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</si>
  <si>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</si>
  <si>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</si>
  <si>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</si>
  <si>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</si>
  <si>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</si>
  <si>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</si>
  <si>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</si>
  <si>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</si>
  <si>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</si>
  <si>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</si>
  <si>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</si>
  <si>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</si>
  <si>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</si>
  <si>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</si>
  <si>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</si>
  <si>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</si>
  <si>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</si>
  <si>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</si>
  <si>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</si>
  <si>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</si>
  <si>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</si>
  <si>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</si>
  <si>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</si>
  <si>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</si>
  <si>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</si>
  <si>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</si>
  <si>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</si>
  <si>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</si>
  <si>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</si>
  <si>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</si>
  <si>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</si>
  <si>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</si>
  <si>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</si>
  <si>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</si>
  <si>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W581</t>
  </si>
  <si>
    <t>W582</t>
  </si>
  <si>
    <t>W583</t>
  </si>
  <si>
    <t>W584</t>
  </si>
  <si>
    <t>W585</t>
  </si>
  <si>
    <t>W586</t>
  </si>
  <si>
    <t>W587</t>
  </si>
  <si>
    <t>W588</t>
  </si>
  <si>
    <t>W589</t>
  </si>
  <si>
    <t>W590</t>
  </si>
  <si>
    <t>W591</t>
  </si>
  <si>
    <t>W592</t>
  </si>
  <si>
    <t>W593</t>
  </si>
  <si>
    <t>W594</t>
  </si>
  <si>
    <t>W595</t>
  </si>
  <si>
    <t>W596</t>
  </si>
  <si>
    <t>W597</t>
  </si>
  <si>
    <t>W598</t>
  </si>
  <si>
    <t>W599</t>
  </si>
  <si>
    <t>W600</t>
  </si>
  <si>
    <t>W601</t>
  </si>
  <si>
    <t>W602</t>
  </si>
  <si>
    <t>W603</t>
  </si>
  <si>
    <t>W604</t>
  </si>
  <si>
    <t>W605</t>
  </si>
  <si>
    <t>W606</t>
  </si>
  <si>
    <t>W607</t>
  </si>
  <si>
    <t>W608</t>
  </si>
  <si>
    <t>W609</t>
  </si>
  <si>
    <t>W610</t>
  </si>
  <si>
    <t>W611</t>
  </si>
  <si>
    <t>W612</t>
  </si>
  <si>
    <t>W613</t>
  </si>
  <si>
    <t>W614</t>
  </si>
  <si>
    <t>W615</t>
  </si>
  <si>
    <t>W616</t>
  </si>
  <si>
    <t>W617</t>
  </si>
  <si>
    <t>W618</t>
  </si>
  <si>
    <t>W619</t>
  </si>
  <si>
    <t>W620</t>
  </si>
  <si>
    <t>W621</t>
  </si>
  <si>
    <t>W622</t>
  </si>
  <si>
    <t>W623</t>
  </si>
  <si>
    <t>W624</t>
  </si>
  <si>
    <t>W625</t>
  </si>
  <si>
    <t>W626</t>
  </si>
  <si>
    <t>W627</t>
  </si>
  <si>
    <t>W628</t>
  </si>
  <si>
    <t>W629</t>
  </si>
  <si>
    <t>W630</t>
  </si>
  <si>
    <t>W631</t>
  </si>
  <si>
    <t>W632</t>
  </si>
  <si>
    <t>W633</t>
  </si>
  <si>
    <t>W634</t>
  </si>
  <si>
    <t xml:space="preserve">       115.954,86  </t>
  </si>
  <si>
    <t> </t>
  </si>
  <si>
    <t xml:space="preserve">       359.108,24  </t>
  </si>
  <si>
    <t>B3TR Node</t>
  </si>
  <si>
    <t>X-Apps</t>
  </si>
  <si>
    <t>Qualifcation Requirement</t>
  </si>
  <si>
    <t>Node Type</t>
  </si>
  <si>
    <t>Qty</t>
  </si>
  <si>
    <t>VET-Staking Requirement</t>
  </si>
  <si>
    <t>Endorsement Requirement</t>
  </si>
  <si>
    <t>Total VET-Staking</t>
  </si>
  <si>
    <t>X Node</t>
  </si>
  <si>
    <t>Mjolnir X</t>
  </si>
  <si>
    <t>Thunder X</t>
  </si>
  <si>
    <t>Strength X</t>
  </si>
  <si>
    <t>VeThor X</t>
  </si>
  <si>
    <t>Eco Node</t>
  </si>
  <si>
    <t>Mjolnir</t>
  </si>
  <si>
    <t>Thunder</t>
  </si>
  <si>
    <t>Strength</t>
  </si>
  <si>
    <t>Sustainability Badge - NFT</t>
  </si>
  <si>
    <t>Burn $B3TR to Upgrade</t>
  </si>
  <si>
    <t>Voter Extra Rewards</t>
  </si>
  <si>
    <t>X-Dapps Extra Rewards</t>
  </si>
  <si>
    <t>Earth</t>
  </si>
  <si>
    <t>NFT 0</t>
  </si>
  <si>
    <t>Free Mint</t>
  </si>
  <si>
    <t>Moon</t>
  </si>
  <si>
    <t>NFT 1</t>
  </si>
  <si>
    <t>Strength, VeThor X</t>
  </si>
  <si>
    <t>Mercury</t>
  </si>
  <si>
    <t>NFT 2</t>
  </si>
  <si>
    <t>Venus</t>
  </si>
  <si>
    <t>NFT 3</t>
  </si>
  <si>
    <t>Strength X, Thunder</t>
  </si>
  <si>
    <t>Mars</t>
  </si>
  <si>
    <t>NFT 4</t>
  </si>
  <si>
    <t>Jupiter</t>
  </si>
  <si>
    <t>NFT 5</t>
  </si>
  <si>
    <t>Thunder X, Mjolnir</t>
  </si>
  <si>
    <t>Saturn</t>
  </si>
  <si>
    <t>NFT 6</t>
  </si>
  <si>
    <t>Uranus</t>
  </si>
  <si>
    <t>NFT 7</t>
  </si>
  <si>
    <t>Neptune</t>
  </si>
  <si>
    <t>NFT 8</t>
  </si>
  <si>
    <t>Galaxy</t>
  </si>
  <si>
    <t>NFT 9</t>
  </si>
  <si>
    <t>Max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</si>
  <si>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</si>
  <si>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</si>
  <si>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</si>
  <si>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</si>
  <si>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</si>
  <si>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</si>
  <si>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</si>
  <si>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</si>
  <si>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</si>
  <si>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Design Complete</t>
  </si>
  <si>
    <t>Preparations</t>
  </si>
  <si>
    <t>Tokenomics</t>
  </si>
  <si>
    <t>#WMC Barcelona Feb27-Mar2</t>
  </si>
  <si>
    <t>VeChainThor Anniversary</t>
  </si>
  <si>
    <t>Gamifications</t>
  </si>
  <si>
    <t>Pilot Show</t>
  </si>
  <si>
    <t>Future Biz Models</t>
  </si>
  <si>
    <t>White Paper - $B3TR</t>
  </si>
  <si>
    <t xml:space="preserve">Official Launch </t>
  </si>
  <si>
    <t>DAO Governance</t>
  </si>
  <si>
    <t>Gamefication (NFT)</t>
  </si>
  <si>
    <t>Treasury Management</t>
  </si>
  <si>
    <t>Tech Delivery</t>
  </si>
  <si>
    <t>Infrastructure/Public Services</t>
  </si>
  <si>
    <t>Self X-Apps</t>
  </si>
  <si>
    <t>Support to Community X-Apps</t>
  </si>
  <si>
    <t>Communication Planning</t>
  </si>
  <si>
    <t>Strategy &amp; Planning</t>
  </si>
  <si>
    <t>Contents</t>
  </si>
  <si>
    <t>Community Engagement Planning</t>
  </si>
  <si>
    <t>Seed Projects Identifications</t>
  </si>
  <si>
    <t>Category</t>
  </si>
  <si>
    <t>Descriptions</t>
  </si>
  <si>
    <t>Current</t>
  </si>
  <si>
    <t>Let's have a fun</t>
  </si>
  <si>
    <t>Project Launch</t>
  </si>
  <si>
    <t>VeBetterDAO Launch Phases</t>
  </si>
  <si>
    <t>Pilotshow - Testnet</t>
  </si>
  <si>
    <t>Pilotshow - Mainnet</t>
  </si>
  <si>
    <t>Official Launch</t>
  </si>
  <si>
    <t>Governance</t>
  </si>
  <si>
    <t>Governance Evolving Phases</t>
  </si>
  <si>
    <t>Building (2+2 Yr)</t>
  </si>
  <si>
    <t>Baseline (4Yr)</t>
  </si>
  <si>
    <t>Evolving (4Yr)</t>
  </si>
  <si>
    <t>Innovating (forward)</t>
  </si>
  <si>
    <t>Treasury</t>
  </si>
  <si>
    <t>Staking Programs</t>
  </si>
  <si>
    <t>1Yr Lockup</t>
  </si>
  <si>
    <t>2Yr Lockup</t>
  </si>
  <si>
    <t>3Yr Lockup</t>
  </si>
  <si>
    <t>Voter NFT Badges</t>
  </si>
  <si>
    <t>Voter Rewards Decay</t>
  </si>
  <si>
    <t>1 Yr - 100% of X allocation</t>
  </si>
  <si>
    <t>2 Yr - 80% of X allocation</t>
  </si>
  <si>
    <t>3 Yr - 60% of X allocation</t>
  </si>
  <si>
    <t>4 Yr - 40% of X allocation</t>
  </si>
  <si>
    <t>5+ Yr - 20% of X allocation</t>
  </si>
  <si>
    <t>Ecosystem Building</t>
  </si>
  <si>
    <t>General</t>
  </si>
  <si>
    <t>Seed Projects</t>
  </si>
  <si>
    <t>X2Earn Apps</t>
  </si>
  <si>
    <t>Validator</t>
  </si>
  <si>
    <t>Voter</t>
  </si>
  <si>
    <t>X2Earn Apps users</t>
  </si>
  <si>
    <t>Technical</t>
  </si>
  <si>
    <t>X2Earn Apps Voting Platform</t>
  </si>
  <si>
    <t>Governance Voting Platform</t>
  </si>
  <si>
    <t>Treasury Voting Platform</t>
  </si>
  <si>
    <t>Smart Contracts</t>
  </si>
  <si>
    <t>VeBetterDAO Portal</t>
  </si>
  <si>
    <t>VOT3 Mint/Burn Platform</t>
  </si>
  <si>
    <t>Badge NFT management platform</t>
  </si>
  <si>
    <t>X2Earn Apps Launch Pad</t>
  </si>
  <si>
    <t>B3TR 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</si>
</sst>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2" borderId="0" xfId="0" applyFont="1" applyFill="1"/>
    <xf numFmtId="4" fontId="1" fillId="0" borderId="0" xfId="0" applyNumberFormat="1" applyFont="1"/>
    <xf numFmtId="4" fontId="0" fillId="0" borderId="0" xfId="0" applyNumberFormat="1"/>
    <xf numFmtId="4" fontId="1" fillId="3" borderId="0" xfId="0" applyNumberFormat="1" applyFont="1" applyFill="1"/>
    <xf numFmtId="10" fontId="1" fillId="0" borderId="0" xfId="0" applyNumberFormat="1" applyFont="1"/>
    <xf numFmtId="10" fontId="1" fillId="3" borderId="0" xfId="0" applyNumberFormat="1" applyFont="1" applyFill="1"/>
    <xf numFmtId="10" fontId="0" fillId="0" borderId="0" xfId="0" applyNumberFormat="1"/>
    <xf numFmtId="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4" fontId="1" fillId="2" borderId="0" xfId="0" applyNumberFormat="1" applyFont="1" applyFill="1"/>
    <xf numFmtId="0" fontId="0" fillId="9" borderId="1" xfId="0" applyFill="1" applyBorder="1"/>
    <xf numFmtId="0" fontId="0" fillId="0" borderId="1" xfId="0" applyBorder="1"/>
    <xf numFmtId="0" fontId="0" fillId="3" borderId="1" xfId="0" applyFill="1" applyBorder="1"/>
    <xf numFmtId="0" fontId="0" fillId="7" borderId="1" xfId="0" applyFill="1" applyBorder="1"/>
    <xf numFmtId="0" fontId="0" fillId="0" borderId="2" xfId="0" applyBorder="1"/>
    <xf numFmtId="0" fontId="1" fillId="0" borderId="1" xfId="0" applyFont="1" applyBorder="1"/>
    <xf numFmtId="4" fontId="1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10" borderId="1" xfId="0" applyFont="1" applyFill="1" applyBorder="1"/>
    <xf numFmtId="0" fontId="0" fillId="10" borderId="1" xfId="0" applyFill="1" applyBorder="1"/>
    <xf numFmtId="165" fontId="0" fillId="10" borderId="1" xfId="0" applyNumberFormat="1" applyFill="1" applyBorder="1"/>
    <xf numFmtId="9" fontId="0" fillId="0" borderId="0" xfId="0" applyNumberFormat="1"/>
    <xf numFmtId="0" fontId="3" fillId="6" borderId="1" xfId="0" applyFont="1" applyFill="1" applyBorder="1"/>
    <xf numFmtId="0" fontId="3" fillId="11" borderId="1" xfId="0" applyFont="1" applyFill="1" applyBorder="1"/>
    <xf numFmtId="4" fontId="2" fillId="4" borderId="0" xfId="0" applyNumberFormat="1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B3TR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'Token Releasing Plan'!$B$16</c:f>
              <c:strCache>
                <c:ptCount val="1"/>
                <c:pt idx="0">
                  <c:v>X DAPP Allocations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'Token Releasing Plan'!$A$17:$A$650</c:f>
              <c:strCache>
                <c:ptCount val="634"/>
                <c:pt idx="0">
                  <c:v>W0 - Pilot Show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  <c:pt idx="9">
                  <c:v>W9</c:v>
                </c:pt>
                <c:pt idx="10">
                  <c:v>W10</c:v>
                </c:pt>
                <c:pt idx="11">
                  <c:v>W11</c:v>
                </c:pt>
                <c:pt idx="12">
                  <c:v>W12</c:v>
                </c:pt>
                <c:pt idx="13">
                  <c:v>W13</c:v>
                </c:pt>
                <c:pt idx="14">
                  <c:v>W14</c:v>
                </c:pt>
                <c:pt idx="15">
                  <c:v>W15</c:v>
                </c:pt>
                <c:pt idx="16">
                  <c:v>W16</c:v>
                </c:pt>
                <c:pt idx="17">
                  <c:v>W17</c:v>
                </c:pt>
                <c:pt idx="18">
                  <c:v>W18</c:v>
                </c:pt>
                <c:pt idx="19">
                  <c:v>W19</c:v>
                </c:pt>
                <c:pt idx="20">
                  <c:v>W20</c:v>
                </c:pt>
                <c:pt idx="21">
                  <c:v>W21</c:v>
                </c:pt>
                <c:pt idx="22">
                  <c:v>W22</c:v>
                </c:pt>
                <c:pt idx="23">
                  <c:v>W23</c:v>
                </c:pt>
                <c:pt idx="24">
                  <c:v>W24</c:v>
                </c:pt>
                <c:pt idx="25">
                  <c:v>W25</c:v>
                </c:pt>
                <c:pt idx="26">
                  <c:v>W26</c:v>
                </c:pt>
                <c:pt idx="27">
                  <c:v>W27</c:v>
                </c:pt>
                <c:pt idx="28">
                  <c:v>W28</c:v>
                </c:pt>
                <c:pt idx="29">
                  <c:v>W29</c:v>
                </c:pt>
                <c:pt idx="30">
                  <c:v>W30</c:v>
                </c:pt>
                <c:pt idx="31">
                  <c:v>W31</c:v>
                </c:pt>
                <c:pt idx="32">
                  <c:v>W32</c:v>
                </c:pt>
                <c:pt idx="33">
                  <c:v>W33</c:v>
                </c:pt>
                <c:pt idx="34">
                  <c:v>W34</c:v>
                </c:pt>
                <c:pt idx="35">
                  <c:v>W35</c:v>
                </c:pt>
                <c:pt idx="36">
                  <c:v>W36</c:v>
                </c:pt>
                <c:pt idx="37">
                  <c:v>W37</c:v>
                </c:pt>
                <c:pt idx="38">
                  <c:v>W38</c:v>
                </c:pt>
                <c:pt idx="39">
                  <c:v>W39</c:v>
                </c:pt>
                <c:pt idx="40">
                  <c:v>W40</c:v>
                </c:pt>
                <c:pt idx="41">
                  <c:v>W41</c:v>
                </c:pt>
                <c:pt idx="42">
                  <c:v>W42</c:v>
                </c:pt>
                <c:pt idx="43">
                  <c:v>W43</c:v>
                </c:pt>
                <c:pt idx="44">
                  <c:v>W44</c:v>
                </c:pt>
                <c:pt idx="45">
                  <c:v>W45</c:v>
                </c:pt>
                <c:pt idx="46">
                  <c:v>W46</c:v>
                </c:pt>
                <c:pt idx="47">
                  <c:v>W47</c:v>
                </c:pt>
                <c:pt idx="48">
                  <c:v>W48</c:v>
                </c:pt>
                <c:pt idx="49">
                  <c:v>W49</c:v>
                </c:pt>
                <c:pt idx="50">
                  <c:v>W50</c:v>
                </c:pt>
                <c:pt idx="51">
                  <c:v>W51</c:v>
                </c:pt>
                <c:pt idx="52">
                  <c:v>W52</c:v>
                </c:pt>
                <c:pt idx="53">
                  <c:v>W53</c:v>
                </c:pt>
                <c:pt idx="54">
                  <c:v>W54</c:v>
                </c:pt>
                <c:pt idx="55">
                  <c:v>W55</c:v>
                </c:pt>
                <c:pt idx="56">
                  <c:v>W56</c:v>
                </c:pt>
                <c:pt idx="57">
                  <c:v>W57</c:v>
                </c:pt>
                <c:pt idx="58">
                  <c:v>W58</c:v>
                </c:pt>
                <c:pt idx="59">
                  <c:v>W59</c:v>
                </c:pt>
                <c:pt idx="60">
                  <c:v>W60</c:v>
                </c:pt>
                <c:pt idx="61">
                  <c:v>W61</c:v>
                </c:pt>
                <c:pt idx="62">
                  <c:v>W62</c:v>
                </c:pt>
                <c:pt idx="63">
                  <c:v>W63</c:v>
                </c:pt>
                <c:pt idx="64">
                  <c:v>W64</c:v>
                </c:pt>
                <c:pt idx="65">
                  <c:v>W65</c:v>
                </c:pt>
                <c:pt idx="66">
                  <c:v>W66</c:v>
                </c:pt>
                <c:pt idx="67">
                  <c:v>W67</c:v>
                </c:pt>
                <c:pt idx="68">
                  <c:v>W68</c:v>
                </c:pt>
                <c:pt idx="69">
                  <c:v>W69</c:v>
                </c:pt>
                <c:pt idx="70">
                  <c:v>W70</c:v>
                </c:pt>
                <c:pt idx="71">
                  <c:v>W71</c:v>
                </c:pt>
                <c:pt idx="72">
                  <c:v>W72</c:v>
                </c:pt>
                <c:pt idx="73">
                  <c:v>W73</c:v>
                </c:pt>
                <c:pt idx="74">
                  <c:v>W74</c:v>
                </c:pt>
                <c:pt idx="75">
                  <c:v>W75</c:v>
                </c:pt>
                <c:pt idx="76">
                  <c:v>W76</c:v>
                </c:pt>
                <c:pt idx="77">
                  <c:v>W77</c:v>
                </c:pt>
                <c:pt idx="78">
                  <c:v>W78</c:v>
                </c:pt>
                <c:pt idx="79">
                  <c:v>W79</c:v>
                </c:pt>
                <c:pt idx="80">
                  <c:v>W80</c:v>
                </c:pt>
                <c:pt idx="81">
                  <c:v>W81</c:v>
                </c:pt>
                <c:pt idx="82">
                  <c:v>W82</c:v>
                </c:pt>
                <c:pt idx="83">
                  <c:v>W83</c:v>
                </c:pt>
                <c:pt idx="84">
                  <c:v>W84</c:v>
                </c:pt>
                <c:pt idx="85">
                  <c:v>W85</c:v>
                </c:pt>
                <c:pt idx="86">
                  <c:v>W86</c:v>
                </c:pt>
                <c:pt idx="87">
                  <c:v>W87</c:v>
                </c:pt>
                <c:pt idx="88">
                  <c:v>W88</c:v>
                </c:pt>
                <c:pt idx="89">
                  <c:v>W89</c:v>
                </c:pt>
                <c:pt idx="90">
                  <c:v>W90</c:v>
                </c:pt>
                <c:pt idx="91">
                  <c:v>W91</c:v>
                </c:pt>
                <c:pt idx="92">
                  <c:v>W92</c:v>
                </c:pt>
                <c:pt idx="93">
                  <c:v>W93</c:v>
                </c:pt>
                <c:pt idx="94">
                  <c:v>W94</c:v>
                </c:pt>
                <c:pt idx="95">
                  <c:v>W95</c:v>
                </c:pt>
                <c:pt idx="96">
                  <c:v>W96</c:v>
                </c:pt>
                <c:pt idx="97">
                  <c:v>W97</c:v>
                </c:pt>
                <c:pt idx="98">
                  <c:v>W98</c:v>
                </c:pt>
                <c:pt idx="99">
                  <c:v>W99</c:v>
                </c:pt>
                <c:pt idx="100">
                  <c:v>W100</c:v>
                </c:pt>
                <c:pt idx="101">
                  <c:v>W101</c:v>
                </c:pt>
                <c:pt idx="102">
                  <c:v>W102</c:v>
                </c:pt>
                <c:pt idx="103">
                  <c:v>W103</c:v>
                </c:pt>
                <c:pt idx="104">
                  <c:v>W104</c:v>
                </c:pt>
                <c:pt idx="105">
                  <c:v>W105</c:v>
                </c:pt>
                <c:pt idx="106">
                  <c:v>W106</c:v>
                </c:pt>
                <c:pt idx="107">
                  <c:v>W107</c:v>
                </c:pt>
                <c:pt idx="108">
                  <c:v>W108</c:v>
                </c:pt>
                <c:pt idx="109">
                  <c:v>W109</c:v>
                </c:pt>
                <c:pt idx="110">
                  <c:v>W110</c:v>
                </c:pt>
                <c:pt idx="111">
                  <c:v>W111</c:v>
                </c:pt>
                <c:pt idx="112">
                  <c:v>W112</c:v>
                </c:pt>
                <c:pt idx="113">
                  <c:v>W113</c:v>
                </c:pt>
                <c:pt idx="114">
                  <c:v>W114</c:v>
                </c:pt>
                <c:pt idx="115">
                  <c:v>W115</c:v>
                </c:pt>
                <c:pt idx="116">
                  <c:v>W116</c:v>
                </c:pt>
                <c:pt idx="117">
                  <c:v>W117</c:v>
                </c:pt>
                <c:pt idx="118">
                  <c:v>W118</c:v>
                </c:pt>
                <c:pt idx="119">
                  <c:v>W119</c:v>
                </c:pt>
                <c:pt idx="120">
                  <c:v>W120</c:v>
                </c:pt>
                <c:pt idx="121">
                  <c:v>W121</c:v>
                </c:pt>
                <c:pt idx="122">
                  <c:v>W122</c:v>
                </c:pt>
                <c:pt idx="123">
                  <c:v>W123</c:v>
                </c:pt>
                <c:pt idx="124">
                  <c:v>W124</c:v>
                </c:pt>
                <c:pt idx="125">
                  <c:v>W125</c:v>
                </c:pt>
                <c:pt idx="126">
                  <c:v>W126</c:v>
                </c:pt>
                <c:pt idx="127">
                  <c:v>W127</c:v>
                </c:pt>
                <c:pt idx="128">
                  <c:v>W128</c:v>
                </c:pt>
                <c:pt idx="129">
                  <c:v>W129</c:v>
                </c:pt>
                <c:pt idx="130">
                  <c:v>W130</c:v>
                </c:pt>
                <c:pt idx="131">
                  <c:v>W131</c:v>
                </c:pt>
                <c:pt idx="132">
                  <c:v>W132</c:v>
                </c:pt>
                <c:pt idx="133">
                  <c:v>W133</c:v>
                </c:pt>
                <c:pt idx="134">
                  <c:v>W134</c:v>
                </c:pt>
                <c:pt idx="135">
                  <c:v>W135</c:v>
                </c:pt>
                <c:pt idx="136">
                  <c:v>W136</c:v>
                </c:pt>
                <c:pt idx="137">
                  <c:v>W137</c:v>
                </c:pt>
                <c:pt idx="138">
                  <c:v>W138</c:v>
                </c:pt>
                <c:pt idx="139">
                  <c:v>W139</c:v>
                </c:pt>
                <c:pt idx="140">
                  <c:v>W140</c:v>
                </c:pt>
                <c:pt idx="141">
                  <c:v>W141</c:v>
                </c:pt>
                <c:pt idx="142">
                  <c:v>W142</c:v>
                </c:pt>
                <c:pt idx="143">
                  <c:v>W143</c:v>
                </c:pt>
                <c:pt idx="144">
                  <c:v>W144</c:v>
                </c:pt>
                <c:pt idx="145">
                  <c:v>W145</c:v>
                </c:pt>
                <c:pt idx="146">
                  <c:v>W146</c:v>
                </c:pt>
                <c:pt idx="147">
                  <c:v>W147</c:v>
                </c:pt>
                <c:pt idx="148">
                  <c:v>W148</c:v>
                </c:pt>
                <c:pt idx="149">
                  <c:v>W149</c:v>
                </c:pt>
                <c:pt idx="150">
                  <c:v>W150</c:v>
                </c:pt>
                <c:pt idx="151">
                  <c:v>W151</c:v>
                </c:pt>
                <c:pt idx="152">
                  <c:v>W152</c:v>
                </c:pt>
                <c:pt idx="153">
                  <c:v>W153</c:v>
                </c:pt>
                <c:pt idx="154">
                  <c:v>W154</c:v>
                </c:pt>
                <c:pt idx="155">
                  <c:v>W155</c:v>
                </c:pt>
                <c:pt idx="156">
                  <c:v>W156</c:v>
                </c:pt>
                <c:pt idx="157">
                  <c:v>W157</c:v>
                </c:pt>
                <c:pt idx="158">
                  <c:v>W158</c:v>
                </c:pt>
                <c:pt idx="159">
                  <c:v>W159</c:v>
                </c:pt>
                <c:pt idx="160">
                  <c:v>W160</c:v>
                </c:pt>
                <c:pt idx="161">
                  <c:v>W161</c:v>
                </c:pt>
                <c:pt idx="162">
                  <c:v>W162</c:v>
                </c:pt>
                <c:pt idx="163">
                  <c:v>W163</c:v>
                </c:pt>
                <c:pt idx="164">
                  <c:v>W164</c:v>
                </c:pt>
                <c:pt idx="165">
                  <c:v>W165</c:v>
                </c:pt>
                <c:pt idx="166">
                  <c:v>W166</c:v>
                </c:pt>
                <c:pt idx="167">
                  <c:v>W167</c:v>
                </c:pt>
                <c:pt idx="168">
                  <c:v>W168</c:v>
                </c:pt>
                <c:pt idx="169">
                  <c:v>W169</c:v>
                </c:pt>
                <c:pt idx="170">
                  <c:v>W170</c:v>
                </c:pt>
                <c:pt idx="171">
                  <c:v>W171</c:v>
                </c:pt>
                <c:pt idx="172">
                  <c:v>W172</c:v>
                </c:pt>
                <c:pt idx="173">
                  <c:v>W173</c:v>
                </c:pt>
                <c:pt idx="174">
                  <c:v>W174</c:v>
                </c:pt>
                <c:pt idx="175">
                  <c:v>W175</c:v>
                </c:pt>
                <c:pt idx="176">
                  <c:v>W176</c:v>
                </c:pt>
                <c:pt idx="177">
                  <c:v>W177</c:v>
                </c:pt>
                <c:pt idx="178">
                  <c:v>W178</c:v>
                </c:pt>
                <c:pt idx="179">
                  <c:v>W179</c:v>
                </c:pt>
                <c:pt idx="180">
                  <c:v>W180</c:v>
                </c:pt>
                <c:pt idx="181">
                  <c:v>W181</c:v>
                </c:pt>
                <c:pt idx="182">
                  <c:v>W182</c:v>
                </c:pt>
                <c:pt idx="183">
                  <c:v>W183</c:v>
                </c:pt>
                <c:pt idx="184">
                  <c:v>W184</c:v>
                </c:pt>
                <c:pt idx="185">
                  <c:v>W185</c:v>
                </c:pt>
                <c:pt idx="186">
                  <c:v>W186</c:v>
                </c:pt>
                <c:pt idx="187">
                  <c:v>W187</c:v>
                </c:pt>
                <c:pt idx="188">
                  <c:v>W188</c:v>
                </c:pt>
                <c:pt idx="189">
                  <c:v>W189</c:v>
                </c:pt>
                <c:pt idx="190">
                  <c:v>W190</c:v>
                </c:pt>
                <c:pt idx="191">
                  <c:v>W191</c:v>
                </c:pt>
                <c:pt idx="192">
                  <c:v>W192</c:v>
                </c:pt>
                <c:pt idx="193">
                  <c:v>W193</c:v>
                </c:pt>
                <c:pt idx="194">
                  <c:v>W194</c:v>
                </c:pt>
                <c:pt idx="195">
                  <c:v>W195</c:v>
                </c:pt>
                <c:pt idx="196">
                  <c:v>W196</c:v>
                </c:pt>
                <c:pt idx="197">
                  <c:v>W197</c:v>
                </c:pt>
                <c:pt idx="198">
                  <c:v>W198</c:v>
                </c:pt>
                <c:pt idx="199">
                  <c:v>W199</c:v>
                </c:pt>
                <c:pt idx="200">
                  <c:v>W200</c:v>
                </c:pt>
                <c:pt idx="201">
                  <c:v>W201</c:v>
                </c:pt>
                <c:pt idx="202">
                  <c:v>W202</c:v>
                </c:pt>
                <c:pt idx="203">
                  <c:v>W203</c:v>
                </c:pt>
                <c:pt idx="204">
                  <c:v>W204</c:v>
                </c:pt>
                <c:pt idx="205">
                  <c:v>W205</c:v>
                </c:pt>
                <c:pt idx="206">
                  <c:v>W206</c:v>
                </c:pt>
                <c:pt idx="207">
                  <c:v>W207</c:v>
                </c:pt>
                <c:pt idx="208">
                  <c:v>W208</c:v>
                </c:pt>
                <c:pt idx="209">
                  <c:v>W209</c:v>
                </c:pt>
                <c:pt idx="210">
                  <c:v>W210</c:v>
                </c:pt>
                <c:pt idx="211">
                  <c:v>W211</c:v>
                </c:pt>
                <c:pt idx="212">
                  <c:v>W212</c:v>
                </c:pt>
                <c:pt idx="213">
                  <c:v>W213</c:v>
                </c:pt>
                <c:pt idx="214">
                  <c:v>W214</c:v>
                </c:pt>
                <c:pt idx="215">
                  <c:v>W215</c:v>
                </c:pt>
                <c:pt idx="216">
                  <c:v>W216</c:v>
                </c:pt>
                <c:pt idx="217">
                  <c:v>W217</c:v>
                </c:pt>
                <c:pt idx="218">
                  <c:v>W218</c:v>
                </c:pt>
                <c:pt idx="219">
                  <c:v>W219</c:v>
                </c:pt>
                <c:pt idx="220">
                  <c:v>W220</c:v>
                </c:pt>
                <c:pt idx="221">
                  <c:v>W221</c:v>
                </c:pt>
                <c:pt idx="222">
                  <c:v>W222</c:v>
                </c:pt>
                <c:pt idx="223">
                  <c:v>W223</c:v>
                </c:pt>
                <c:pt idx="224">
                  <c:v>W224</c:v>
                </c:pt>
                <c:pt idx="225">
                  <c:v>W225</c:v>
                </c:pt>
                <c:pt idx="226">
                  <c:v>W226</c:v>
                </c:pt>
                <c:pt idx="227">
                  <c:v>W227</c:v>
                </c:pt>
                <c:pt idx="228">
                  <c:v>W228</c:v>
                </c:pt>
                <c:pt idx="229">
                  <c:v>W229</c:v>
                </c:pt>
                <c:pt idx="230">
                  <c:v>W230</c:v>
                </c:pt>
                <c:pt idx="231">
                  <c:v>W231</c:v>
                </c:pt>
                <c:pt idx="232">
                  <c:v>W232</c:v>
                </c:pt>
                <c:pt idx="233">
                  <c:v>W233</c:v>
                </c:pt>
                <c:pt idx="234">
                  <c:v>W234</c:v>
                </c:pt>
                <c:pt idx="235">
                  <c:v>W235</c:v>
                </c:pt>
                <c:pt idx="236">
                  <c:v>W236</c:v>
                </c:pt>
                <c:pt idx="237">
                  <c:v>W237</c:v>
                </c:pt>
                <c:pt idx="238">
                  <c:v>W238</c:v>
                </c:pt>
                <c:pt idx="239">
                  <c:v>W239</c:v>
                </c:pt>
                <c:pt idx="240">
                  <c:v>W240</c:v>
                </c:pt>
                <c:pt idx="241">
                  <c:v>W241</c:v>
                </c:pt>
                <c:pt idx="242">
                  <c:v>W242</c:v>
                </c:pt>
                <c:pt idx="243">
                  <c:v>W243</c:v>
                </c:pt>
                <c:pt idx="244">
                  <c:v>W244</c:v>
                </c:pt>
                <c:pt idx="245">
                  <c:v>W245</c:v>
                </c:pt>
                <c:pt idx="246">
                  <c:v>W246</c:v>
                </c:pt>
                <c:pt idx="247">
                  <c:v>W247</c:v>
                </c:pt>
                <c:pt idx="248">
                  <c:v>W248</c:v>
                </c:pt>
                <c:pt idx="249">
                  <c:v>W249</c:v>
                </c:pt>
                <c:pt idx="250">
                  <c:v>W250</c:v>
                </c:pt>
                <c:pt idx="251">
                  <c:v>W251</c:v>
                </c:pt>
                <c:pt idx="252">
                  <c:v>W252</c:v>
                </c:pt>
                <c:pt idx="253">
                  <c:v>W253</c:v>
                </c:pt>
                <c:pt idx="254">
                  <c:v>W254</c:v>
                </c:pt>
                <c:pt idx="255">
                  <c:v>W255</c:v>
                </c:pt>
                <c:pt idx="256">
                  <c:v>W256</c:v>
                </c:pt>
                <c:pt idx="257">
                  <c:v>W257</c:v>
                </c:pt>
                <c:pt idx="258">
                  <c:v>W258</c:v>
                </c:pt>
                <c:pt idx="259">
                  <c:v>W259</c:v>
                </c:pt>
                <c:pt idx="260">
                  <c:v>W260</c:v>
                </c:pt>
                <c:pt idx="261">
                  <c:v>W261</c:v>
                </c:pt>
                <c:pt idx="262">
                  <c:v>W262</c:v>
                </c:pt>
                <c:pt idx="263">
                  <c:v>W263</c:v>
                </c:pt>
                <c:pt idx="264">
                  <c:v>W264</c:v>
                </c:pt>
                <c:pt idx="265">
                  <c:v>W265</c:v>
                </c:pt>
                <c:pt idx="266">
                  <c:v>W266</c:v>
                </c:pt>
                <c:pt idx="267">
                  <c:v>W267</c:v>
                </c:pt>
                <c:pt idx="268">
                  <c:v>W268</c:v>
                </c:pt>
                <c:pt idx="269">
                  <c:v>W269</c:v>
                </c:pt>
                <c:pt idx="270">
                  <c:v>W270</c:v>
                </c:pt>
                <c:pt idx="271">
                  <c:v>W271</c:v>
                </c:pt>
                <c:pt idx="272">
                  <c:v>W272</c:v>
                </c:pt>
                <c:pt idx="273">
                  <c:v>W273</c:v>
                </c:pt>
                <c:pt idx="274">
                  <c:v>W274</c:v>
                </c:pt>
                <c:pt idx="275">
                  <c:v>W275</c:v>
                </c:pt>
                <c:pt idx="276">
                  <c:v>W276</c:v>
                </c:pt>
                <c:pt idx="277">
                  <c:v>W277</c:v>
                </c:pt>
                <c:pt idx="278">
                  <c:v>W278</c:v>
                </c:pt>
                <c:pt idx="279">
                  <c:v>W279</c:v>
                </c:pt>
                <c:pt idx="280">
                  <c:v>W280</c:v>
                </c:pt>
                <c:pt idx="281">
                  <c:v>W281</c:v>
                </c:pt>
                <c:pt idx="282">
                  <c:v>W282</c:v>
                </c:pt>
                <c:pt idx="283">
                  <c:v>W283</c:v>
                </c:pt>
                <c:pt idx="284">
                  <c:v>W284</c:v>
                </c:pt>
                <c:pt idx="285">
                  <c:v>W285</c:v>
                </c:pt>
                <c:pt idx="286">
                  <c:v>W286</c:v>
                </c:pt>
                <c:pt idx="287">
                  <c:v>W287</c:v>
                </c:pt>
                <c:pt idx="288">
                  <c:v>W288</c:v>
                </c:pt>
                <c:pt idx="289">
                  <c:v>W289</c:v>
                </c:pt>
                <c:pt idx="290">
                  <c:v>W290</c:v>
                </c:pt>
                <c:pt idx="291">
                  <c:v>W291</c:v>
                </c:pt>
                <c:pt idx="292">
                  <c:v>W292</c:v>
                </c:pt>
                <c:pt idx="293">
                  <c:v>W293</c:v>
                </c:pt>
                <c:pt idx="294">
                  <c:v>W294</c:v>
                </c:pt>
                <c:pt idx="295">
                  <c:v>W295</c:v>
                </c:pt>
                <c:pt idx="296">
                  <c:v>W296</c:v>
                </c:pt>
                <c:pt idx="297">
                  <c:v>W297</c:v>
                </c:pt>
                <c:pt idx="298">
                  <c:v>W298</c:v>
                </c:pt>
                <c:pt idx="299">
                  <c:v>W299</c:v>
                </c:pt>
                <c:pt idx="300">
                  <c:v>W300</c:v>
                </c:pt>
                <c:pt idx="301">
                  <c:v>W301</c:v>
                </c:pt>
                <c:pt idx="302">
                  <c:v>W302</c:v>
                </c:pt>
                <c:pt idx="303">
                  <c:v>W303</c:v>
                </c:pt>
                <c:pt idx="304">
                  <c:v>W304</c:v>
                </c:pt>
                <c:pt idx="305">
                  <c:v>W305</c:v>
                </c:pt>
                <c:pt idx="306">
                  <c:v>W306</c:v>
                </c:pt>
                <c:pt idx="307">
                  <c:v>W307</c:v>
                </c:pt>
                <c:pt idx="308">
                  <c:v>W308</c:v>
                </c:pt>
                <c:pt idx="309">
                  <c:v>W309</c:v>
                </c:pt>
                <c:pt idx="310">
                  <c:v>W310</c:v>
                </c:pt>
                <c:pt idx="311">
                  <c:v>W311</c:v>
                </c:pt>
                <c:pt idx="312">
                  <c:v>W312</c:v>
                </c:pt>
                <c:pt idx="313">
                  <c:v>W313</c:v>
                </c:pt>
                <c:pt idx="314">
                  <c:v>W314</c:v>
                </c:pt>
                <c:pt idx="315">
                  <c:v>W315</c:v>
                </c:pt>
                <c:pt idx="316">
                  <c:v>W316</c:v>
                </c:pt>
                <c:pt idx="317">
                  <c:v>W317</c:v>
                </c:pt>
                <c:pt idx="318">
                  <c:v>W318</c:v>
                </c:pt>
                <c:pt idx="319">
                  <c:v>W319</c:v>
                </c:pt>
                <c:pt idx="320">
                  <c:v>W320</c:v>
                </c:pt>
                <c:pt idx="321">
                  <c:v>W321</c:v>
                </c:pt>
                <c:pt idx="322">
                  <c:v>W322</c:v>
                </c:pt>
                <c:pt idx="323">
                  <c:v>W323</c:v>
                </c:pt>
                <c:pt idx="324">
                  <c:v>W324</c:v>
                </c:pt>
                <c:pt idx="325">
                  <c:v>W325</c:v>
                </c:pt>
                <c:pt idx="326">
                  <c:v>W326</c:v>
                </c:pt>
                <c:pt idx="327">
                  <c:v>W327</c:v>
                </c:pt>
                <c:pt idx="328">
                  <c:v>W328</c:v>
                </c:pt>
                <c:pt idx="329">
                  <c:v>W329</c:v>
                </c:pt>
                <c:pt idx="330">
                  <c:v>W330</c:v>
                </c:pt>
                <c:pt idx="331">
                  <c:v>W331</c:v>
                </c:pt>
                <c:pt idx="332">
                  <c:v>W332</c:v>
                </c:pt>
                <c:pt idx="333">
                  <c:v>W333</c:v>
                </c:pt>
                <c:pt idx="334">
                  <c:v>W334</c:v>
                </c:pt>
                <c:pt idx="335">
                  <c:v>W335</c:v>
                </c:pt>
                <c:pt idx="336">
                  <c:v>W336</c:v>
                </c:pt>
                <c:pt idx="337">
                  <c:v>W337</c:v>
                </c:pt>
                <c:pt idx="338">
                  <c:v>W338</c:v>
                </c:pt>
                <c:pt idx="339">
                  <c:v>W339</c:v>
                </c:pt>
                <c:pt idx="340">
                  <c:v>W340</c:v>
                </c:pt>
                <c:pt idx="341">
                  <c:v>W341</c:v>
                </c:pt>
                <c:pt idx="342">
                  <c:v>W342</c:v>
                </c:pt>
                <c:pt idx="343">
                  <c:v>W343</c:v>
                </c:pt>
                <c:pt idx="344">
                  <c:v>W344</c:v>
                </c:pt>
                <c:pt idx="345">
                  <c:v>W345</c:v>
                </c:pt>
                <c:pt idx="346">
                  <c:v>W346</c:v>
                </c:pt>
                <c:pt idx="347">
                  <c:v>W347</c:v>
                </c:pt>
                <c:pt idx="348">
                  <c:v>W348</c:v>
                </c:pt>
                <c:pt idx="349">
                  <c:v>W349</c:v>
                </c:pt>
                <c:pt idx="350">
                  <c:v>W350</c:v>
                </c:pt>
                <c:pt idx="351">
                  <c:v>W351</c:v>
                </c:pt>
                <c:pt idx="352">
                  <c:v>W352</c:v>
                </c:pt>
                <c:pt idx="353">
                  <c:v>W353</c:v>
                </c:pt>
                <c:pt idx="354">
                  <c:v>W354</c:v>
                </c:pt>
                <c:pt idx="355">
                  <c:v>W355</c:v>
                </c:pt>
                <c:pt idx="356">
                  <c:v>W356</c:v>
                </c:pt>
                <c:pt idx="357">
                  <c:v>W357</c:v>
                </c:pt>
                <c:pt idx="358">
                  <c:v>W358</c:v>
                </c:pt>
                <c:pt idx="359">
                  <c:v>W359</c:v>
                </c:pt>
                <c:pt idx="360">
                  <c:v>W360</c:v>
                </c:pt>
                <c:pt idx="361">
                  <c:v>W361</c:v>
                </c:pt>
                <c:pt idx="362">
                  <c:v>W362</c:v>
                </c:pt>
                <c:pt idx="363">
                  <c:v>W363</c:v>
                </c:pt>
                <c:pt idx="364">
                  <c:v>W364</c:v>
                </c:pt>
                <c:pt idx="365">
                  <c:v>W365</c:v>
                </c:pt>
                <c:pt idx="366">
                  <c:v>W366</c:v>
                </c:pt>
                <c:pt idx="367">
                  <c:v>W367</c:v>
                </c:pt>
                <c:pt idx="368">
                  <c:v>W368</c:v>
                </c:pt>
                <c:pt idx="369">
                  <c:v>W369</c:v>
                </c:pt>
                <c:pt idx="370">
                  <c:v>W370</c:v>
                </c:pt>
                <c:pt idx="371">
                  <c:v>W371</c:v>
                </c:pt>
                <c:pt idx="372">
                  <c:v>W372</c:v>
                </c:pt>
                <c:pt idx="373">
                  <c:v>W373</c:v>
                </c:pt>
                <c:pt idx="374">
                  <c:v>W374</c:v>
                </c:pt>
                <c:pt idx="375">
                  <c:v>W375</c:v>
                </c:pt>
                <c:pt idx="376">
                  <c:v>W376</c:v>
                </c:pt>
                <c:pt idx="377">
                  <c:v>W377</c:v>
                </c:pt>
                <c:pt idx="378">
                  <c:v>W378</c:v>
                </c:pt>
                <c:pt idx="379">
                  <c:v>W379</c:v>
                </c:pt>
                <c:pt idx="380">
                  <c:v>W380</c:v>
                </c:pt>
                <c:pt idx="381">
                  <c:v>W381</c:v>
                </c:pt>
                <c:pt idx="382">
                  <c:v>W382</c:v>
                </c:pt>
                <c:pt idx="383">
                  <c:v>W383</c:v>
                </c:pt>
                <c:pt idx="384">
                  <c:v>W384</c:v>
                </c:pt>
                <c:pt idx="385">
                  <c:v>W385</c:v>
                </c:pt>
                <c:pt idx="386">
                  <c:v>W386</c:v>
                </c:pt>
                <c:pt idx="387">
                  <c:v>W387</c:v>
                </c:pt>
                <c:pt idx="388">
                  <c:v>W388</c:v>
                </c:pt>
                <c:pt idx="389">
                  <c:v>W389</c:v>
                </c:pt>
                <c:pt idx="390">
                  <c:v>W390</c:v>
                </c:pt>
                <c:pt idx="391">
                  <c:v>W391</c:v>
                </c:pt>
                <c:pt idx="392">
                  <c:v>W392</c:v>
                </c:pt>
                <c:pt idx="393">
                  <c:v>W393</c:v>
                </c:pt>
                <c:pt idx="394">
                  <c:v>W394</c:v>
                </c:pt>
                <c:pt idx="395">
                  <c:v>W395</c:v>
                </c:pt>
                <c:pt idx="396">
                  <c:v>W396</c:v>
                </c:pt>
                <c:pt idx="397">
                  <c:v>W397</c:v>
                </c:pt>
                <c:pt idx="398">
                  <c:v>W398</c:v>
                </c:pt>
                <c:pt idx="399">
                  <c:v>W399</c:v>
                </c:pt>
                <c:pt idx="400">
                  <c:v>W400</c:v>
                </c:pt>
                <c:pt idx="401">
                  <c:v>W401</c:v>
                </c:pt>
                <c:pt idx="402">
                  <c:v>W402</c:v>
                </c:pt>
                <c:pt idx="403">
                  <c:v>W403</c:v>
                </c:pt>
                <c:pt idx="404">
                  <c:v>W404</c:v>
                </c:pt>
                <c:pt idx="405">
                  <c:v>W405</c:v>
                </c:pt>
                <c:pt idx="406">
                  <c:v>W406</c:v>
                </c:pt>
                <c:pt idx="407">
                  <c:v>W407</c:v>
                </c:pt>
                <c:pt idx="408">
                  <c:v>W408</c:v>
                </c:pt>
                <c:pt idx="409">
                  <c:v>W409</c:v>
                </c:pt>
                <c:pt idx="410">
                  <c:v>W410</c:v>
                </c:pt>
                <c:pt idx="411">
                  <c:v>W411</c:v>
                </c:pt>
                <c:pt idx="412">
                  <c:v>W412</c:v>
                </c:pt>
                <c:pt idx="413">
                  <c:v>W413</c:v>
                </c:pt>
                <c:pt idx="414">
                  <c:v>W414</c:v>
                </c:pt>
                <c:pt idx="415">
                  <c:v>W415</c:v>
                </c:pt>
                <c:pt idx="416">
                  <c:v>W416</c:v>
                </c:pt>
                <c:pt idx="417">
                  <c:v>W417</c:v>
                </c:pt>
                <c:pt idx="418">
                  <c:v>W418</c:v>
                </c:pt>
                <c:pt idx="419">
                  <c:v>W419</c:v>
                </c:pt>
                <c:pt idx="420">
                  <c:v>W420</c:v>
                </c:pt>
                <c:pt idx="421">
                  <c:v>W421</c:v>
                </c:pt>
                <c:pt idx="422">
                  <c:v>W422</c:v>
                </c:pt>
                <c:pt idx="423">
                  <c:v>W423</c:v>
                </c:pt>
                <c:pt idx="424">
                  <c:v>W424</c:v>
                </c:pt>
                <c:pt idx="425">
                  <c:v>W425</c:v>
                </c:pt>
                <c:pt idx="426">
                  <c:v>W426</c:v>
                </c:pt>
                <c:pt idx="427">
                  <c:v>W427</c:v>
                </c:pt>
                <c:pt idx="428">
                  <c:v>W428</c:v>
                </c:pt>
                <c:pt idx="429">
                  <c:v>W429</c:v>
                </c:pt>
                <c:pt idx="430">
                  <c:v>W430</c:v>
                </c:pt>
                <c:pt idx="431">
                  <c:v>W431</c:v>
                </c:pt>
                <c:pt idx="432">
                  <c:v>W432</c:v>
                </c:pt>
                <c:pt idx="433">
                  <c:v>W433</c:v>
                </c:pt>
                <c:pt idx="434">
                  <c:v>W434</c:v>
                </c:pt>
                <c:pt idx="435">
                  <c:v>W435</c:v>
                </c:pt>
                <c:pt idx="436">
                  <c:v>W436</c:v>
                </c:pt>
                <c:pt idx="437">
                  <c:v>W437</c:v>
                </c:pt>
                <c:pt idx="438">
                  <c:v>W438</c:v>
                </c:pt>
                <c:pt idx="439">
                  <c:v>W439</c:v>
                </c:pt>
                <c:pt idx="440">
                  <c:v>W440</c:v>
                </c:pt>
                <c:pt idx="441">
                  <c:v>W441</c:v>
                </c:pt>
                <c:pt idx="442">
                  <c:v>W442</c:v>
                </c:pt>
                <c:pt idx="443">
                  <c:v>W443</c:v>
                </c:pt>
                <c:pt idx="444">
                  <c:v>W444</c:v>
                </c:pt>
                <c:pt idx="445">
                  <c:v>W445</c:v>
                </c:pt>
                <c:pt idx="446">
                  <c:v>W446</c:v>
                </c:pt>
                <c:pt idx="447">
                  <c:v>W447</c:v>
                </c:pt>
                <c:pt idx="448">
                  <c:v>W448</c:v>
                </c:pt>
                <c:pt idx="449">
                  <c:v>W449</c:v>
                </c:pt>
                <c:pt idx="450">
                  <c:v>W450</c:v>
                </c:pt>
                <c:pt idx="451">
                  <c:v>W451</c:v>
                </c:pt>
                <c:pt idx="452">
                  <c:v>W452</c:v>
                </c:pt>
                <c:pt idx="453">
                  <c:v>W453</c:v>
                </c:pt>
                <c:pt idx="454">
                  <c:v>W454</c:v>
                </c:pt>
                <c:pt idx="455">
                  <c:v>W455</c:v>
                </c:pt>
                <c:pt idx="456">
                  <c:v>W456</c:v>
                </c:pt>
                <c:pt idx="457">
                  <c:v>W457</c:v>
                </c:pt>
                <c:pt idx="458">
                  <c:v>W458</c:v>
                </c:pt>
                <c:pt idx="459">
                  <c:v>W459</c:v>
                </c:pt>
                <c:pt idx="460">
                  <c:v>W460</c:v>
                </c:pt>
                <c:pt idx="461">
                  <c:v>W461</c:v>
                </c:pt>
                <c:pt idx="462">
                  <c:v>W462</c:v>
                </c:pt>
                <c:pt idx="463">
                  <c:v>W463</c:v>
                </c:pt>
                <c:pt idx="464">
                  <c:v>W464</c:v>
                </c:pt>
                <c:pt idx="465">
                  <c:v>W465</c:v>
                </c:pt>
                <c:pt idx="466">
                  <c:v>W466</c:v>
                </c:pt>
                <c:pt idx="467">
                  <c:v>W467</c:v>
                </c:pt>
                <c:pt idx="468">
                  <c:v>W468</c:v>
                </c:pt>
                <c:pt idx="469">
                  <c:v>W469</c:v>
                </c:pt>
                <c:pt idx="470">
                  <c:v>W470</c:v>
                </c:pt>
                <c:pt idx="471">
                  <c:v>W471</c:v>
                </c:pt>
                <c:pt idx="472">
                  <c:v>W472</c:v>
                </c:pt>
                <c:pt idx="473">
                  <c:v>W473</c:v>
                </c:pt>
                <c:pt idx="474">
                  <c:v>W474</c:v>
                </c:pt>
                <c:pt idx="475">
                  <c:v>W475</c:v>
                </c:pt>
                <c:pt idx="476">
                  <c:v>W476</c:v>
                </c:pt>
                <c:pt idx="477">
                  <c:v>W477</c:v>
                </c:pt>
                <c:pt idx="478">
                  <c:v>W478</c:v>
                </c:pt>
                <c:pt idx="479">
                  <c:v>W479</c:v>
                </c:pt>
                <c:pt idx="480">
                  <c:v>W480</c:v>
                </c:pt>
                <c:pt idx="481">
                  <c:v>W481</c:v>
                </c:pt>
                <c:pt idx="482">
                  <c:v>W482</c:v>
                </c:pt>
                <c:pt idx="483">
                  <c:v>W483</c:v>
                </c:pt>
                <c:pt idx="484">
                  <c:v>W484</c:v>
                </c:pt>
                <c:pt idx="485">
                  <c:v>W485</c:v>
                </c:pt>
                <c:pt idx="486">
                  <c:v>W486</c:v>
                </c:pt>
                <c:pt idx="487">
                  <c:v>W487</c:v>
                </c:pt>
                <c:pt idx="488">
                  <c:v>W488</c:v>
                </c:pt>
                <c:pt idx="489">
                  <c:v>W489</c:v>
                </c:pt>
                <c:pt idx="490">
                  <c:v>W490</c:v>
                </c:pt>
                <c:pt idx="491">
                  <c:v>W491</c:v>
                </c:pt>
                <c:pt idx="492">
                  <c:v>W492</c:v>
                </c:pt>
                <c:pt idx="493">
                  <c:v>W493</c:v>
                </c:pt>
                <c:pt idx="494">
                  <c:v>W494</c:v>
                </c:pt>
                <c:pt idx="495">
                  <c:v>W495</c:v>
                </c:pt>
                <c:pt idx="496">
                  <c:v>W496</c:v>
                </c:pt>
                <c:pt idx="497">
                  <c:v>W497</c:v>
                </c:pt>
                <c:pt idx="498">
                  <c:v>W498</c:v>
                </c:pt>
                <c:pt idx="499">
                  <c:v>W499</c:v>
                </c:pt>
                <c:pt idx="500">
                  <c:v>W500</c:v>
                </c:pt>
                <c:pt idx="501">
                  <c:v>W501</c:v>
                </c:pt>
                <c:pt idx="502">
                  <c:v>W502</c:v>
                </c:pt>
                <c:pt idx="503">
                  <c:v>W503</c:v>
                </c:pt>
                <c:pt idx="504">
                  <c:v>W504</c:v>
                </c:pt>
                <c:pt idx="505">
                  <c:v>W505</c:v>
                </c:pt>
                <c:pt idx="506">
                  <c:v>W506</c:v>
                </c:pt>
                <c:pt idx="507">
                  <c:v>W507</c:v>
                </c:pt>
                <c:pt idx="508">
                  <c:v>W508</c:v>
                </c:pt>
                <c:pt idx="509">
                  <c:v>W509</c:v>
                </c:pt>
                <c:pt idx="510">
                  <c:v>W510</c:v>
                </c:pt>
                <c:pt idx="511">
                  <c:v>W511</c:v>
                </c:pt>
                <c:pt idx="512">
                  <c:v>W512</c:v>
                </c:pt>
                <c:pt idx="513">
                  <c:v>W513</c:v>
                </c:pt>
                <c:pt idx="514">
                  <c:v>W514</c:v>
                </c:pt>
                <c:pt idx="515">
                  <c:v>W515</c:v>
                </c:pt>
                <c:pt idx="516">
                  <c:v>W516</c:v>
                </c:pt>
                <c:pt idx="517">
                  <c:v>W517</c:v>
                </c:pt>
                <c:pt idx="518">
                  <c:v>W518</c:v>
                </c:pt>
                <c:pt idx="519">
                  <c:v>W519</c:v>
                </c:pt>
                <c:pt idx="520">
                  <c:v>W520</c:v>
                </c:pt>
                <c:pt idx="521">
                  <c:v>W521</c:v>
                </c:pt>
                <c:pt idx="522">
                  <c:v>W522</c:v>
                </c:pt>
                <c:pt idx="523">
                  <c:v>W523</c:v>
                </c:pt>
                <c:pt idx="524">
                  <c:v>W524</c:v>
                </c:pt>
                <c:pt idx="525">
                  <c:v>W525</c:v>
                </c:pt>
                <c:pt idx="526">
                  <c:v>W526</c:v>
                </c:pt>
                <c:pt idx="527">
                  <c:v>W527</c:v>
                </c:pt>
                <c:pt idx="528">
                  <c:v>W528</c:v>
                </c:pt>
                <c:pt idx="529">
                  <c:v>W529</c:v>
                </c:pt>
                <c:pt idx="530">
                  <c:v>W530</c:v>
                </c:pt>
                <c:pt idx="531">
                  <c:v>W531</c:v>
                </c:pt>
                <c:pt idx="532">
                  <c:v>W532</c:v>
                </c:pt>
                <c:pt idx="533">
                  <c:v>W533</c:v>
                </c:pt>
                <c:pt idx="534">
                  <c:v>W534</c:v>
                </c:pt>
                <c:pt idx="535">
                  <c:v>W535</c:v>
                </c:pt>
                <c:pt idx="536">
                  <c:v>W536</c:v>
                </c:pt>
                <c:pt idx="537">
                  <c:v>W537</c:v>
                </c:pt>
                <c:pt idx="538">
                  <c:v>W538</c:v>
                </c:pt>
                <c:pt idx="539">
                  <c:v>W539</c:v>
                </c:pt>
                <c:pt idx="540">
                  <c:v>W540</c:v>
                </c:pt>
                <c:pt idx="541">
                  <c:v>W541</c:v>
                </c:pt>
                <c:pt idx="542">
                  <c:v>W542</c:v>
                </c:pt>
                <c:pt idx="543">
                  <c:v>W543</c:v>
                </c:pt>
                <c:pt idx="544">
                  <c:v>W544</c:v>
                </c:pt>
                <c:pt idx="545">
                  <c:v>W545</c:v>
                </c:pt>
                <c:pt idx="546">
                  <c:v>W546</c:v>
                </c:pt>
                <c:pt idx="547">
                  <c:v>W547</c:v>
                </c:pt>
                <c:pt idx="548">
                  <c:v>W548</c:v>
                </c:pt>
                <c:pt idx="549">
                  <c:v>W549</c:v>
                </c:pt>
                <c:pt idx="550">
                  <c:v>W550</c:v>
                </c:pt>
                <c:pt idx="551">
                  <c:v>W551</c:v>
                </c:pt>
                <c:pt idx="552">
                  <c:v>W552</c:v>
                </c:pt>
                <c:pt idx="553">
                  <c:v>W553</c:v>
                </c:pt>
                <c:pt idx="554">
                  <c:v>W554</c:v>
                </c:pt>
                <c:pt idx="555">
                  <c:v>W555</c:v>
                </c:pt>
                <c:pt idx="556">
                  <c:v>W556</c:v>
                </c:pt>
                <c:pt idx="557">
                  <c:v>W557</c:v>
                </c:pt>
                <c:pt idx="558">
                  <c:v>W558</c:v>
                </c:pt>
                <c:pt idx="559">
                  <c:v>W559</c:v>
                </c:pt>
                <c:pt idx="560">
                  <c:v>W560</c:v>
                </c:pt>
                <c:pt idx="561">
                  <c:v>W561</c:v>
                </c:pt>
                <c:pt idx="562">
                  <c:v>W562</c:v>
                </c:pt>
                <c:pt idx="563">
                  <c:v>W563</c:v>
                </c:pt>
                <c:pt idx="564">
                  <c:v>W564</c:v>
                </c:pt>
                <c:pt idx="565">
                  <c:v>W565</c:v>
                </c:pt>
                <c:pt idx="566">
                  <c:v>W566</c:v>
                </c:pt>
                <c:pt idx="567">
                  <c:v>W567</c:v>
                </c:pt>
                <c:pt idx="568">
                  <c:v>W568</c:v>
                </c:pt>
                <c:pt idx="569">
                  <c:v>W569</c:v>
                </c:pt>
                <c:pt idx="570">
                  <c:v>W570</c:v>
                </c:pt>
                <c:pt idx="571">
                  <c:v>W571</c:v>
                </c:pt>
                <c:pt idx="572">
                  <c:v>W572</c:v>
                </c:pt>
                <c:pt idx="573">
                  <c:v>W573</c:v>
                </c:pt>
                <c:pt idx="574">
                  <c:v>W574</c:v>
                </c:pt>
                <c:pt idx="575">
                  <c:v>W575</c:v>
                </c:pt>
                <c:pt idx="576">
                  <c:v>W576</c:v>
                </c:pt>
                <c:pt idx="577">
                  <c:v>W577</c:v>
                </c:pt>
                <c:pt idx="578">
                  <c:v>W578</c:v>
                </c:pt>
                <c:pt idx="579">
                  <c:v>W579</c:v>
                </c:pt>
                <c:pt idx="580">
                  <c:v>W580</c:v>
                </c:pt>
                <c:pt idx="581">
                  <c:v>W581</c:v>
                </c:pt>
                <c:pt idx="582">
                  <c:v>W582</c:v>
                </c:pt>
                <c:pt idx="583">
                  <c:v>W583</c:v>
                </c:pt>
                <c:pt idx="584">
                  <c:v>W584</c:v>
                </c:pt>
                <c:pt idx="585">
                  <c:v>W585</c:v>
                </c:pt>
                <c:pt idx="586">
                  <c:v>W586</c:v>
                </c:pt>
                <c:pt idx="587">
                  <c:v>W587</c:v>
                </c:pt>
                <c:pt idx="588">
                  <c:v>W588</c:v>
                </c:pt>
                <c:pt idx="589">
                  <c:v>W589</c:v>
                </c:pt>
                <c:pt idx="590">
                  <c:v>W590</c:v>
                </c:pt>
                <c:pt idx="591">
                  <c:v>W591</c:v>
                </c:pt>
                <c:pt idx="592">
                  <c:v>W592</c:v>
                </c:pt>
                <c:pt idx="593">
                  <c:v>W593</c:v>
                </c:pt>
                <c:pt idx="594">
                  <c:v>W594</c:v>
                </c:pt>
                <c:pt idx="595">
                  <c:v>W595</c:v>
                </c:pt>
                <c:pt idx="596">
                  <c:v>W596</c:v>
                </c:pt>
                <c:pt idx="597">
                  <c:v>W597</c:v>
                </c:pt>
                <c:pt idx="598">
                  <c:v>W598</c:v>
                </c:pt>
                <c:pt idx="599">
                  <c:v>W599</c:v>
                </c:pt>
                <c:pt idx="600">
                  <c:v>W600</c:v>
                </c:pt>
                <c:pt idx="601">
                  <c:v>W601</c:v>
                </c:pt>
                <c:pt idx="602">
                  <c:v>W602</c:v>
                </c:pt>
                <c:pt idx="603">
                  <c:v>W603</c:v>
                </c:pt>
                <c:pt idx="604">
                  <c:v>W604</c:v>
                </c:pt>
                <c:pt idx="605">
                  <c:v>W605</c:v>
                </c:pt>
                <c:pt idx="606">
                  <c:v>W606</c:v>
                </c:pt>
                <c:pt idx="607">
                  <c:v>W607</c:v>
                </c:pt>
                <c:pt idx="608">
                  <c:v>W608</c:v>
                </c:pt>
                <c:pt idx="609">
                  <c:v>W609</c:v>
                </c:pt>
                <c:pt idx="610">
                  <c:v>W610</c:v>
                </c:pt>
                <c:pt idx="611">
                  <c:v>W611</c:v>
                </c:pt>
                <c:pt idx="612">
                  <c:v>W612</c:v>
                </c:pt>
                <c:pt idx="613">
                  <c:v>W613</c:v>
                </c:pt>
                <c:pt idx="614">
                  <c:v>W614</c:v>
                </c:pt>
                <c:pt idx="615">
                  <c:v>W615</c:v>
                </c:pt>
                <c:pt idx="616">
                  <c:v>W616</c:v>
                </c:pt>
                <c:pt idx="617">
                  <c:v>W617</c:v>
                </c:pt>
                <c:pt idx="618">
                  <c:v>W618</c:v>
                </c:pt>
                <c:pt idx="619">
                  <c:v>W619</c:v>
                </c:pt>
                <c:pt idx="620">
                  <c:v>W620</c:v>
                </c:pt>
                <c:pt idx="621">
                  <c:v>W621</c:v>
                </c:pt>
                <c:pt idx="622">
                  <c:v>W622</c:v>
                </c:pt>
                <c:pt idx="623">
                  <c:v>W623</c:v>
                </c:pt>
                <c:pt idx="624">
                  <c:v>W624</c:v>
                </c:pt>
                <c:pt idx="625">
                  <c:v>W625</c:v>
                </c:pt>
                <c:pt idx="626">
                  <c:v>W626</c:v>
                </c:pt>
                <c:pt idx="627">
                  <c:v>W627</c:v>
                </c:pt>
                <c:pt idx="628">
                  <c:v>W628</c:v>
                </c:pt>
                <c:pt idx="629">
                  <c:v>W629</c:v>
                </c:pt>
                <c:pt idx="630">
                  <c:v>W630</c:v>
                </c:pt>
                <c:pt idx="631">
                  <c:v>W631</c:v>
                </c:pt>
                <c:pt idx="632">
                  <c:v>W632</c:v>
                </c:pt>
                <c:pt idx="633">
                  <c:v>W633</c:v>
                </c:pt>
              </c:strCache>
            </c:strRef>
          </c:cat>
          <c:val>
            <c:numRef>
              <c:f>'Token Releasing Plan'!$B$17:$B$650</c:f>
              <c:numCache>
                <c:formatCode>_(* #,##0.00_);_(* \(#,##0.00\);_(* "-"??_);_(@_)</c:formatCode>
                <c:ptCount val="634"/>
                <c:pt idx="0">
                  <c:v>1000000</c:v>
                </c:pt>
                <c:pt idx="1">
                  <c:v>2000000</c:v>
                </c:pt>
                <c:pt idx="2">
                  <c:v>2000000</c:v>
                </c:pt>
                <c:pt idx="3">
                  <c:v>2000000</c:v>
                </c:pt>
                <c:pt idx="4">
                  <c:v>2000000</c:v>
                </c:pt>
                <c:pt idx="5">
                  <c:v>2000000</c:v>
                </c:pt>
                <c:pt idx="6">
                  <c:v>2000000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2000000</c:v>
                </c:pt>
                <c:pt idx="13">
                  <c:v>1920000</c:v>
                </c:pt>
                <c:pt idx="14">
                  <c:v>1920000</c:v>
                </c:pt>
                <c:pt idx="15">
                  <c:v>1920000</c:v>
                </c:pt>
                <c:pt idx="16">
                  <c:v>1920000</c:v>
                </c:pt>
                <c:pt idx="17">
                  <c:v>1920000</c:v>
                </c:pt>
                <c:pt idx="18">
                  <c:v>1920000</c:v>
                </c:pt>
                <c:pt idx="19">
                  <c:v>1920000</c:v>
                </c:pt>
                <c:pt idx="20">
                  <c:v>1920000</c:v>
                </c:pt>
                <c:pt idx="21">
                  <c:v>1920000</c:v>
                </c:pt>
                <c:pt idx="22">
                  <c:v>1920000</c:v>
                </c:pt>
                <c:pt idx="23">
                  <c:v>1920000</c:v>
                </c:pt>
                <c:pt idx="24">
                  <c:v>1920000</c:v>
                </c:pt>
                <c:pt idx="25">
                  <c:v>1843200</c:v>
                </c:pt>
                <c:pt idx="26">
                  <c:v>1843200</c:v>
                </c:pt>
                <c:pt idx="27">
                  <c:v>1843200</c:v>
                </c:pt>
                <c:pt idx="28">
                  <c:v>1843200</c:v>
                </c:pt>
                <c:pt idx="29">
                  <c:v>1843200</c:v>
                </c:pt>
                <c:pt idx="30">
                  <c:v>1843200</c:v>
                </c:pt>
                <c:pt idx="31">
                  <c:v>1843200</c:v>
                </c:pt>
                <c:pt idx="32">
                  <c:v>1843200</c:v>
                </c:pt>
                <c:pt idx="33">
                  <c:v>1843200</c:v>
                </c:pt>
                <c:pt idx="34">
                  <c:v>1843200</c:v>
                </c:pt>
                <c:pt idx="35">
                  <c:v>1843200</c:v>
                </c:pt>
                <c:pt idx="36">
                  <c:v>1843200</c:v>
                </c:pt>
                <c:pt idx="37">
                  <c:v>1769472</c:v>
                </c:pt>
                <c:pt idx="38">
                  <c:v>1769472</c:v>
                </c:pt>
                <c:pt idx="39">
                  <c:v>1769472</c:v>
                </c:pt>
                <c:pt idx="40">
                  <c:v>1769472</c:v>
                </c:pt>
                <c:pt idx="41">
                  <c:v>1769472</c:v>
                </c:pt>
                <c:pt idx="42">
                  <c:v>1769472</c:v>
                </c:pt>
                <c:pt idx="43">
                  <c:v>1769472</c:v>
                </c:pt>
                <c:pt idx="44">
                  <c:v>1769472</c:v>
                </c:pt>
                <c:pt idx="45">
                  <c:v>1769472</c:v>
                </c:pt>
                <c:pt idx="46">
                  <c:v>1769472</c:v>
                </c:pt>
                <c:pt idx="47">
                  <c:v>1769472</c:v>
                </c:pt>
                <c:pt idx="48">
                  <c:v>1769472</c:v>
                </c:pt>
                <c:pt idx="49">
                  <c:v>1698693.1199999999</c:v>
                </c:pt>
                <c:pt idx="50">
                  <c:v>1698693.1199999999</c:v>
                </c:pt>
                <c:pt idx="51">
                  <c:v>1698693.1199999999</c:v>
                </c:pt>
                <c:pt idx="52">
                  <c:v>1698693.1199999999</c:v>
                </c:pt>
                <c:pt idx="53">
                  <c:v>1698693.1199999999</c:v>
                </c:pt>
                <c:pt idx="54">
                  <c:v>1698693.1199999999</c:v>
                </c:pt>
                <c:pt idx="55">
                  <c:v>1698693.1199999999</c:v>
                </c:pt>
                <c:pt idx="56">
                  <c:v>1698693.1199999999</c:v>
                </c:pt>
                <c:pt idx="57">
                  <c:v>1698693.1199999999</c:v>
                </c:pt>
                <c:pt idx="58">
                  <c:v>1698693.1199999999</c:v>
                </c:pt>
                <c:pt idx="59">
                  <c:v>1698693.1199999999</c:v>
                </c:pt>
                <c:pt idx="60">
                  <c:v>1698693.1199999999</c:v>
                </c:pt>
                <c:pt idx="61">
                  <c:v>1630745.3951999999</c:v>
                </c:pt>
                <c:pt idx="62">
                  <c:v>1630745.3951999999</c:v>
                </c:pt>
                <c:pt idx="63">
                  <c:v>1630745.3951999999</c:v>
                </c:pt>
                <c:pt idx="64">
                  <c:v>1630745.3951999999</c:v>
                </c:pt>
                <c:pt idx="65">
                  <c:v>1630745.3951999999</c:v>
                </c:pt>
                <c:pt idx="66">
                  <c:v>1630745.3951999999</c:v>
                </c:pt>
                <c:pt idx="67">
                  <c:v>1630745.3951999999</c:v>
                </c:pt>
                <c:pt idx="68">
                  <c:v>1630745.3951999999</c:v>
                </c:pt>
                <c:pt idx="69">
                  <c:v>1630745.3951999999</c:v>
                </c:pt>
                <c:pt idx="70">
                  <c:v>1630745.3951999999</c:v>
                </c:pt>
                <c:pt idx="71">
                  <c:v>1630745.3951999999</c:v>
                </c:pt>
                <c:pt idx="72">
                  <c:v>1630745.3951999999</c:v>
                </c:pt>
                <c:pt idx="73">
                  <c:v>1565515.5793919999</c:v>
                </c:pt>
                <c:pt idx="74">
                  <c:v>1565515.5793919999</c:v>
                </c:pt>
                <c:pt idx="75">
                  <c:v>1565515.5793919999</c:v>
                </c:pt>
                <c:pt idx="76">
                  <c:v>1565515.5793919999</c:v>
                </c:pt>
                <c:pt idx="77">
                  <c:v>1565515.5793919999</c:v>
                </c:pt>
                <c:pt idx="78">
                  <c:v>1565515.5793919999</c:v>
                </c:pt>
                <c:pt idx="79">
                  <c:v>1565515.5793919999</c:v>
                </c:pt>
                <c:pt idx="80">
                  <c:v>1565515.5793919999</c:v>
                </c:pt>
                <c:pt idx="81">
                  <c:v>1565515.5793919999</c:v>
                </c:pt>
                <c:pt idx="82">
                  <c:v>1565515.5793919999</c:v>
                </c:pt>
                <c:pt idx="83">
                  <c:v>1565515.5793919999</c:v>
                </c:pt>
                <c:pt idx="84">
                  <c:v>1565515.5793919999</c:v>
                </c:pt>
                <c:pt idx="85">
                  <c:v>1502894.9562163199</c:v>
                </c:pt>
                <c:pt idx="86">
                  <c:v>1502894.9562163199</c:v>
                </c:pt>
                <c:pt idx="87">
                  <c:v>1502894.9562163199</c:v>
                </c:pt>
                <c:pt idx="88">
                  <c:v>1502894.9562163199</c:v>
                </c:pt>
                <c:pt idx="89">
                  <c:v>1502894.9562163199</c:v>
                </c:pt>
                <c:pt idx="90">
                  <c:v>1502894.9562163199</c:v>
                </c:pt>
                <c:pt idx="91">
                  <c:v>1502894.9562163199</c:v>
                </c:pt>
                <c:pt idx="92">
                  <c:v>1502894.9562163199</c:v>
                </c:pt>
                <c:pt idx="93">
                  <c:v>1502894.9562163199</c:v>
                </c:pt>
                <c:pt idx="94">
                  <c:v>1502894.9562163199</c:v>
                </c:pt>
                <c:pt idx="95">
                  <c:v>1502894.9562163199</c:v>
                </c:pt>
                <c:pt idx="96">
                  <c:v>1502894.9562163199</c:v>
                </c:pt>
                <c:pt idx="97">
                  <c:v>1442779.1579676671</c:v>
                </c:pt>
                <c:pt idx="98">
                  <c:v>1442779.1579676671</c:v>
                </c:pt>
                <c:pt idx="99">
                  <c:v>1442779.1579676671</c:v>
                </c:pt>
                <c:pt idx="100">
                  <c:v>1442779.1579676671</c:v>
                </c:pt>
                <c:pt idx="101">
                  <c:v>1442779.1579676671</c:v>
                </c:pt>
                <c:pt idx="102">
                  <c:v>1442779.1579676671</c:v>
                </c:pt>
                <c:pt idx="103">
                  <c:v>1442779.1579676671</c:v>
                </c:pt>
                <c:pt idx="104">
                  <c:v>1442779.1579676671</c:v>
                </c:pt>
                <c:pt idx="105">
                  <c:v>1442779.1579676671</c:v>
                </c:pt>
                <c:pt idx="106">
                  <c:v>1442779.1579676671</c:v>
                </c:pt>
                <c:pt idx="107">
                  <c:v>1442779.1579676671</c:v>
                </c:pt>
                <c:pt idx="108">
                  <c:v>1442779.1579676671</c:v>
                </c:pt>
                <c:pt idx="109">
                  <c:v>1385067.9916489604</c:v>
                </c:pt>
                <c:pt idx="110">
                  <c:v>1385067.9916489604</c:v>
                </c:pt>
                <c:pt idx="111">
                  <c:v>1385067.9916489604</c:v>
                </c:pt>
                <c:pt idx="112">
                  <c:v>1385067.9916489604</c:v>
                </c:pt>
                <c:pt idx="113">
                  <c:v>1385067.9916489604</c:v>
                </c:pt>
                <c:pt idx="114">
                  <c:v>1385067.9916489604</c:v>
                </c:pt>
                <c:pt idx="115">
                  <c:v>1385067.9916489604</c:v>
                </c:pt>
                <c:pt idx="116">
                  <c:v>1385067.9916489604</c:v>
                </c:pt>
                <c:pt idx="117">
                  <c:v>1385067.9916489604</c:v>
                </c:pt>
                <c:pt idx="118">
                  <c:v>1385067.9916489604</c:v>
                </c:pt>
                <c:pt idx="119">
                  <c:v>1385067.9916489604</c:v>
                </c:pt>
                <c:pt idx="120">
                  <c:v>1385067.9916489604</c:v>
                </c:pt>
                <c:pt idx="121">
                  <c:v>1329665.2719830018</c:v>
                </c:pt>
                <c:pt idx="122">
                  <c:v>1329665.2719830018</c:v>
                </c:pt>
                <c:pt idx="123">
                  <c:v>1329665.2719830018</c:v>
                </c:pt>
                <c:pt idx="124">
                  <c:v>1329665.2719830018</c:v>
                </c:pt>
                <c:pt idx="125">
                  <c:v>1329665.2719830018</c:v>
                </c:pt>
                <c:pt idx="126">
                  <c:v>1329665.2719830018</c:v>
                </c:pt>
                <c:pt idx="127">
                  <c:v>1329665.2719830018</c:v>
                </c:pt>
                <c:pt idx="128">
                  <c:v>1329665.2719830018</c:v>
                </c:pt>
                <c:pt idx="129">
                  <c:v>1329665.2719830018</c:v>
                </c:pt>
                <c:pt idx="130">
                  <c:v>1329665.2719830018</c:v>
                </c:pt>
                <c:pt idx="131">
                  <c:v>1329665.2719830018</c:v>
                </c:pt>
                <c:pt idx="132">
                  <c:v>1329665.2719830018</c:v>
                </c:pt>
                <c:pt idx="133">
                  <c:v>1276478.6611036817</c:v>
                </c:pt>
                <c:pt idx="134">
                  <c:v>1276478.6611036817</c:v>
                </c:pt>
                <c:pt idx="135">
                  <c:v>1276478.6611036817</c:v>
                </c:pt>
                <c:pt idx="136">
                  <c:v>1276478.6611036817</c:v>
                </c:pt>
                <c:pt idx="137">
                  <c:v>1276478.6611036817</c:v>
                </c:pt>
                <c:pt idx="138">
                  <c:v>1276478.6611036817</c:v>
                </c:pt>
                <c:pt idx="139">
                  <c:v>1276478.6611036817</c:v>
                </c:pt>
                <c:pt idx="140">
                  <c:v>1276478.6611036817</c:v>
                </c:pt>
                <c:pt idx="141">
                  <c:v>1276478.6611036817</c:v>
                </c:pt>
                <c:pt idx="142">
                  <c:v>1276478.6611036817</c:v>
                </c:pt>
                <c:pt idx="143">
                  <c:v>1276478.6611036817</c:v>
                </c:pt>
                <c:pt idx="144">
                  <c:v>1276478.6611036817</c:v>
                </c:pt>
                <c:pt idx="145">
                  <c:v>1225419.5146595344</c:v>
                </c:pt>
                <c:pt idx="146">
                  <c:v>1225419.5146595344</c:v>
                </c:pt>
                <c:pt idx="147">
                  <c:v>1225419.5146595344</c:v>
                </c:pt>
                <c:pt idx="148">
                  <c:v>1225419.5146595344</c:v>
                </c:pt>
                <c:pt idx="149">
                  <c:v>1225419.5146595344</c:v>
                </c:pt>
                <c:pt idx="150">
                  <c:v>1225419.5146595344</c:v>
                </c:pt>
                <c:pt idx="151">
                  <c:v>1225419.5146595344</c:v>
                </c:pt>
                <c:pt idx="152">
                  <c:v>1225419.5146595344</c:v>
                </c:pt>
                <c:pt idx="153">
                  <c:v>1225419.5146595344</c:v>
                </c:pt>
                <c:pt idx="154">
                  <c:v>1225419.5146595344</c:v>
                </c:pt>
                <c:pt idx="155">
                  <c:v>1225419.5146595344</c:v>
                </c:pt>
                <c:pt idx="156">
                  <c:v>1225419.5146595344</c:v>
                </c:pt>
                <c:pt idx="157">
                  <c:v>1176402.734073153</c:v>
                </c:pt>
                <c:pt idx="158">
                  <c:v>1176402.734073153</c:v>
                </c:pt>
                <c:pt idx="159">
                  <c:v>1176402.734073153</c:v>
                </c:pt>
                <c:pt idx="160">
                  <c:v>1176402.734073153</c:v>
                </c:pt>
                <c:pt idx="161">
                  <c:v>1176402.734073153</c:v>
                </c:pt>
                <c:pt idx="162">
                  <c:v>1176402.734073153</c:v>
                </c:pt>
                <c:pt idx="163">
                  <c:v>1176402.734073153</c:v>
                </c:pt>
                <c:pt idx="164">
                  <c:v>1176402.734073153</c:v>
                </c:pt>
                <c:pt idx="165">
                  <c:v>1176402.734073153</c:v>
                </c:pt>
                <c:pt idx="166">
                  <c:v>1176402.734073153</c:v>
                </c:pt>
                <c:pt idx="167">
                  <c:v>1176402.734073153</c:v>
                </c:pt>
                <c:pt idx="168">
                  <c:v>1176402.734073153</c:v>
                </c:pt>
                <c:pt idx="169">
                  <c:v>1129346.6247102269</c:v>
                </c:pt>
                <c:pt idx="170">
                  <c:v>1129346.6247102269</c:v>
                </c:pt>
                <c:pt idx="171">
                  <c:v>1129346.6247102269</c:v>
                </c:pt>
                <c:pt idx="172">
                  <c:v>1129346.6247102269</c:v>
                </c:pt>
                <c:pt idx="173">
                  <c:v>1129346.6247102269</c:v>
                </c:pt>
                <c:pt idx="174">
                  <c:v>1129346.6247102269</c:v>
                </c:pt>
                <c:pt idx="175">
                  <c:v>1129346.6247102269</c:v>
                </c:pt>
                <c:pt idx="176">
                  <c:v>1129346.6247102269</c:v>
                </c:pt>
                <c:pt idx="177">
                  <c:v>1129346.6247102269</c:v>
                </c:pt>
                <c:pt idx="178">
                  <c:v>1129346.6247102269</c:v>
                </c:pt>
                <c:pt idx="179">
                  <c:v>1129346.6247102269</c:v>
                </c:pt>
                <c:pt idx="180">
                  <c:v>1129346.6247102269</c:v>
                </c:pt>
                <c:pt idx="181">
                  <c:v>1084172.7597218177</c:v>
                </c:pt>
                <c:pt idx="182">
                  <c:v>1084172.7597218177</c:v>
                </c:pt>
                <c:pt idx="183">
                  <c:v>1084172.7597218177</c:v>
                </c:pt>
                <c:pt idx="184">
                  <c:v>1084172.7597218177</c:v>
                </c:pt>
                <c:pt idx="185">
                  <c:v>1084172.7597218177</c:v>
                </c:pt>
                <c:pt idx="186">
                  <c:v>1084172.7597218177</c:v>
                </c:pt>
                <c:pt idx="187">
                  <c:v>1084172.7597218177</c:v>
                </c:pt>
                <c:pt idx="188">
                  <c:v>1084172.7597218177</c:v>
                </c:pt>
                <c:pt idx="189">
                  <c:v>1084172.7597218177</c:v>
                </c:pt>
                <c:pt idx="190">
                  <c:v>1084172.7597218177</c:v>
                </c:pt>
                <c:pt idx="191">
                  <c:v>1084172.7597218177</c:v>
                </c:pt>
                <c:pt idx="192">
                  <c:v>1084172.7597218177</c:v>
                </c:pt>
                <c:pt idx="193">
                  <c:v>1040805.849332945</c:v>
                </c:pt>
                <c:pt idx="194">
                  <c:v>1040805.849332945</c:v>
                </c:pt>
                <c:pt idx="195">
                  <c:v>1040805.849332945</c:v>
                </c:pt>
                <c:pt idx="196">
                  <c:v>1040805.849332945</c:v>
                </c:pt>
                <c:pt idx="197">
                  <c:v>1040805.849332945</c:v>
                </c:pt>
                <c:pt idx="198">
                  <c:v>1040805.849332945</c:v>
                </c:pt>
                <c:pt idx="199">
                  <c:v>1040805.849332945</c:v>
                </c:pt>
                <c:pt idx="200">
                  <c:v>1040805.849332945</c:v>
                </c:pt>
                <c:pt idx="201">
                  <c:v>1040805.849332945</c:v>
                </c:pt>
                <c:pt idx="202">
                  <c:v>1040805.849332945</c:v>
                </c:pt>
                <c:pt idx="203">
                  <c:v>1040805.849332945</c:v>
                </c:pt>
                <c:pt idx="204">
                  <c:v>1040805.849332945</c:v>
                </c:pt>
                <c:pt idx="205">
                  <c:v>999173.61535962718</c:v>
                </c:pt>
                <c:pt idx="206">
                  <c:v>999173.61535962718</c:v>
                </c:pt>
                <c:pt idx="207">
                  <c:v>999173.61535962718</c:v>
                </c:pt>
                <c:pt idx="208">
                  <c:v>999173.61535962718</c:v>
                </c:pt>
                <c:pt idx="209">
                  <c:v>999173.61535962718</c:v>
                </c:pt>
                <c:pt idx="210">
                  <c:v>999173.61535962718</c:v>
                </c:pt>
                <c:pt idx="211">
                  <c:v>999173.61535962718</c:v>
                </c:pt>
                <c:pt idx="212">
                  <c:v>999173.61535962718</c:v>
                </c:pt>
                <c:pt idx="213">
                  <c:v>999173.61535962718</c:v>
                </c:pt>
                <c:pt idx="214">
                  <c:v>999173.61535962718</c:v>
                </c:pt>
                <c:pt idx="215">
                  <c:v>999173.61535962718</c:v>
                </c:pt>
                <c:pt idx="216">
                  <c:v>999173.61535962718</c:v>
                </c:pt>
                <c:pt idx="217">
                  <c:v>959206.67074524204</c:v>
                </c:pt>
                <c:pt idx="218">
                  <c:v>959206.67074524204</c:v>
                </c:pt>
                <c:pt idx="219">
                  <c:v>959206.67074524204</c:v>
                </c:pt>
                <c:pt idx="220">
                  <c:v>959206.67074524204</c:v>
                </c:pt>
                <c:pt idx="221">
                  <c:v>959206.67074524204</c:v>
                </c:pt>
                <c:pt idx="222">
                  <c:v>959206.67074524204</c:v>
                </c:pt>
                <c:pt idx="223">
                  <c:v>959206.67074524204</c:v>
                </c:pt>
                <c:pt idx="224">
                  <c:v>959206.67074524204</c:v>
                </c:pt>
                <c:pt idx="225">
                  <c:v>959206.67074524204</c:v>
                </c:pt>
                <c:pt idx="226">
                  <c:v>959206.67074524204</c:v>
                </c:pt>
                <c:pt idx="227">
                  <c:v>959206.67074524204</c:v>
                </c:pt>
                <c:pt idx="228">
                  <c:v>959206.67074524204</c:v>
                </c:pt>
                <c:pt idx="229">
                  <c:v>920838.40391543228</c:v>
                </c:pt>
                <c:pt idx="230">
                  <c:v>920838.40391543228</c:v>
                </c:pt>
                <c:pt idx="231">
                  <c:v>920838.40391543228</c:v>
                </c:pt>
                <c:pt idx="232">
                  <c:v>920838.40391543228</c:v>
                </c:pt>
                <c:pt idx="233">
                  <c:v>920838.40391543228</c:v>
                </c:pt>
                <c:pt idx="234">
                  <c:v>920838.40391543228</c:v>
                </c:pt>
                <c:pt idx="235">
                  <c:v>920838.40391543228</c:v>
                </c:pt>
                <c:pt idx="236">
                  <c:v>920838.40391543228</c:v>
                </c:pt>
                <c:pt idx="237">
                  <c:v>920838.40391543228</c:v>
                </c:pt>
                <c:pt idx="238">
                  <c:v>920838.40391543228</c:v>
                </c:pt>
                <c:pt idx="239">
                  <c:v>920838.40391543228</c:v>
                </c:pt>
                <c:pt idx="240">
                  <c:v>920838.40391543228</c:v>
                </c:pt>
                <c:pt idx="241">
                  <c:v>884004.86775881494</c:v>
                </c:pt>
                <c:pt idx="242">
                  <c:v>884004.86775881494</c:v>
                </c:pt>
                <c:pt idx="243">
                  <c:v>884004.86775881494</c:v>
                </c:pt>
                <c:pt idx="244">
                  <c:v>884004.86775881494</c:v>
                </c:pt>
                <c:pt idx="245">
                  <c:v>884004.86775881494</c:v>
                </c:pt>
                <c:pt idx="246">
                  <c:v>884004.86775881494</c:v>
                </c:pt>
                <c:pt idx="247">
                  <c:v>884004.86775881494</c:v>
                </c:pt>
                <c:pt idx="248">
                  <c:v>884004.86775881494</c:v>
                </c:pt>
                <c:pt idx="249">
                  <c:v>884004.86775881494</c:v>
                </c:pt>
                <c:pt idx="250">
                  <c:v>884004.86775881494</c:v>
                </c:pt>
                <c:pt idx="251">
                  <c:v>884004.86775881494</c:v>
                </c:pt>
                <c:pt idx="252">
                  <c:v>884004.86775881494</c:v>
                </c:pt>
                <c:pt idx="253">
                  <c:v>848644.67304846237</c:v>
                </c:pt>
                <c:pt idx="254">
                  <c:v>848644.67304846237</c:v>
                </c:pt>
                <c:pt idx="255">
                  <c:v>848644.67304846237</c:v>
                </c:pt>
                <c:pt idx="256">
                  <c:v>848644.67304846237</c:v>
                </c:pt>
                <c:pt idx="257">
                  <c:v>848644.67304846237</c:v>
                </c:pt>
                <c:pt idx="258">
                  <c:v>848644.67304846237</c:v>
                </c:pt>
                <c:pt idx="259">
                  <c:v>848644.67304846237</c:v>
                </c:pt>
                <c:pt idx="260">
                  <c:v>848644.67304846237</c:v>
                </c:pt>
                <c:pt idx="261">
                  <c:v>848644.67304846237</c:v>
                </c:pt>
                <c:pt idx="262">
                  <c:v>848644.67304846237</c:v>
                </c:pt>
                <c:pt idx="263">
                  <c:v>848644.67304846237</c:v>
                </c:pt>
                <c:pt idx="264">
                  <c:v>848644.67304846237</c:v>
                </c:pt>
                <c:pt idx="265">
                  <c:v>814698.88612652384</c:v>
                </c:pt>
                <c:pt idx="266">
                  <c:v>814698.88612652384</c:v>
                </c:pt>
                <c:pt idx="267">
                  <c:v>814698.88612652384</c:v>
                </c:pt>
                <c:pt idx="268">
                  <c:v>814698.88612652384</c:v>
                </c:pt>
                <c:pt idx="269">
                  <c:v>814698.88612652384</c:v>
                </c:pt>
                <c:pt idx="270">
                  <c:v>814698.88612652384</c:v>
                </c:pt>
                <c:pt idx="271">
                  <c:v>814698.88612652384</c:v>
                </c:pt>
                <c:pt idx="272">
                  <c:v>814698.88612652384</c:v>
                </c:pt>
                <c:pt idx="273">
                  <c:v>814698.88612652384</c:v>
                </c:pt>
                <c:pt idx="274">
                  <c:v>814698.88612652384</c:v>
                </c:pt>
                <c:pt idx="275">
                  <c:v>814698.88612652384</c:v>
                </c:pt>
                <c:pt idx="276">
                  <c:v>814698.88612652384</c:v>
                </c:pt>
                <c:pt idx="277">
                  <c:v>782110.93068146287</c:v>
                </c:pt>
                <c:pt idx="278">
                  <c:v>782110.93068146287</c:v>
                </c:pt>
                <c:pt idx="279">
                  <c:v>782110.93068146287</c:v>
                </c:pt>
                <c:pt idx="280">
                  <c:v>782110.93068146287</c:v>
                </c:pt>
                <c:pt idx="281">
                  <c:v>782110.93068146287</c:v>
                </c:pt>
                <c:pt idx="282">
                  <c:v>782110.93068146287</c:v>
                </c:pt>
                <c:pt idx="283">
                  <c:v>782110.93068146287</c:v>
                </c:pt>
                <c:pt idx="284">
                  <c:v>782110.93068146287</c:v>
                </c:pt>
                <c:pt idx="285">
                  <c:v>782110.93068146287</c:v>
                </c:pt>
                <c:pt idx="286">
                  <c:v>782110.93068146287</c:v>
                </c:pt>
                <c:pt idx="287">
                  <c:v>782110.93068146287</c:v>
                </c:pt>
                <c:pt idx="288">
                  <c:v>782110.93068146287</c:v>
                </c:pt>
                <c:pt idx="289">
                  <c:v>750826.49345420429</c:v>
                </c:pt>
                <c:pt idx="290">
                  <c:v>750826.49345420429</c:v>
                </c:pt>
                <c:pt idx="291">
                  <c:v>750826.49345420429</c:v>
                </c:pt>
                <c:pt idx="292">
                  <c:v>750826.49345420429</c:v>
                </c:pt>
                <c:pt idx="293">
                  <c:v>750826.49345420429</c:v>
                </c:pt>
                <c:pt idx="294">
                  <c:v>750826.49345420429</c:v>
                </c:pt>
                <c:pt idx="295">
                  <c:v>750826.49345420429</c:v>
                </c:pt>
                <c:pt idx="296">
                  <c:v>750826.49345420429</c:v>
                </c:pt>
                <c:pt idx="297">
                  <c:v>750826.49345420429</c:v>
                </c:pt>
                <c:pt idx="298">
                  <c:v>750826.49345420429</c:v>
                </c:pt>
                <c:pt idx="299">
                  <c:v>750826.49345420429</c:v>
                </c:pt>
                <c:pt idx="300">
                  <c:v>750826.49345420429</c:v>
                </c:pt>
                <c:pt idx="301">
                  <c:v>720793.43371603615</c:v>
                </c:pt>
                <c:pt idx="302">
                  <c:v>720793.43371603615</c:v>
                </c:pt>
                <c:pt idx="303">
                  <c:v>720793.43371603615</c:v>
                </c:pt>
                <c:pt idx="304">
                  <c:v>720793.43371603615</c:v>
                </c:pt>
                <c:pt idx="305">
                  <c:v>720793.43371603615</c:v>
                </c:pt>
                <c:pt idx="306">
                  <c:v>720793.43371603615</c:v>
                </c:pt>
                <c:pt idx="307">
                  <c:v>720793.43371603615</c:v>
                </c:pt>
                <c:pt idx="308">
                  <c:v>720793.43371603615</c:v>
                </c:pt>
                <c:pt idx="309">
                  <c:v>720793.43371603615</c:v>
                </c:pt>
                <c:pt idx="310">
                  <c:v>720793.43371603615</c:v>
                </c:pt>
                <c:pt idx="311">
                  <c:v>720793.43371603615</c:v>
                </c:pt>
                <c:pt idx="312">
                  <c:v>720793.43371603615</c:v>
                </c:pt>
                <c:pt idx="313">
                  <c:v>691961.69636739464</c:v>
                </c:pt>
                <c:pt idx="314">
                  <c:v>691961.69636739464</c:v>
                </c:pt>
                <c:pt idx="315">
                  <c:v>691961.69636739464</c:v>
                </c:pt>
                <c:pt idx="316">
                  <c:v>691961.69636739464</c:v>
                </c:pt>
                <c:pt idx="317">
                  <c:v>691961.69636739464</c:v>
                </c:pt>
                <c:pt idx="318">
                  <c:v>691961.69636739464</c:v>
                </c:pt>
                <c:pt idx="319">
                  <c:v>691961.69636739464</c:v>
                </c:pt>
                <c:pt idx="320">
                  <c:v>691961.69636739464</c:v>
                </c:pt>
                <c:pt idx="321">
                  <c:v>691961.69636739464</c:v>
                </c:pt>
                <c:pt idx="322">
                  <c:v>691961.69636739464</c:v>
                </c:pt>
                <c:pt idx="323">
                  <c:v>691961.69636739464</c:v>
                </c:pt>
                <c:pt idx="324">
                  <c:v>691961.69636739464</c:v>
                </c:pt>
                <c:pt idx="325">
                  <c:v>664283.22851269878</c:v>
                </c:pt>
                <c:pt idx="326">
                  <c:v>664283.22851269878</c:v>
                </c:pt>
                <c:pt idx="327">
                  <c:v>664283.22851269878</c:v>
                </c:pt>
                <c:pt idx="328">
                  <c:v>664283.22851269878</c:v>
                </c:pt>
                <c:pt idx="329">
                  <c:v>664283.22851269878</c:v>
                </c:pt>
                <c:pt idx="330">
                  <c:v>664283.22851269878</c:v>
                </c:pt>
                <c:pt idx="331">
                  <c:v>664283.22851269878</c:v>
                </c:pt>
                <c:pt idx="332">
                  <c:v>664283.22851269878</c:v>
                </c:pt>
                <c:pt idx="333">
                  <c:v>664283.22851269878</c:v>
                </c:pt>
                <c:pt idx="334">
                  <c:v>664283.22851269878</c:v>
                </c:pt>
                <c:pt idx="335">
                  <c:v>664283.22851269878</c:v>
                </c:pt>
                <c:pt idx="336">
                  <c:v>664283.22851269878</c:v>
                </c:pt>
                <c:pt idx="337">
                  <c:v>637711.89937219082</c:v>
                </c:pt>
                <c:pt idx="338">
                  <c:v>637711.89937219082</c:v>
                </c:pt>
                <c:pt idx="339">
                  <c:v>637711.89937219082</c:v>
                </c:pt>
                <c:pt idx="340">
                  <c:v>637711.89937219082</c:v>
                </c:pt>
                <c:pt idx="341">
                  <c:v>637711.89937219082</c:v>
                </c:pt>
                <c:pt idx="342">
                  <c:v>637711.89937219082</c:v>
                </c:pt>
                <c:pt idx="343">
                  <c:v>637711.89937219082</c:v>
                </c:pt>
                <c:pt idx="344">
                  <c:v>637711.89937219082</c:v>
                </c:pt>
                <c:pt idx="345">
                  <c:v>637711.89937219082</c:v>
                </c:pt>
                <c:pt idx="346">
                  <c:v>637711.89937219082</c:v>
                </c:pt>
                <c:pt idx="347">
                  <c:v>637711.89937219082</c:v>
                </c:pt>
                <c:pt idx="348">
                  <c:v>637711.89937219082</c:v>
                </c:pt>
                <c:pt idx="349">
                  <c:v>612203.42339730321</c:v>
                </c:pt>
                <c:pt idx="350">
                  <c:v>612203.42339730321</c:v>
                </c:pt>
                <c:pt idx="351">
                  <c:v>612203.42339730321</c:v>
                </c:pt>
                <c:pt idx="352">
                  <c:v>612203.42339730321</c:v>
                </c:pt>
                <c:pt idx="353">
                  <c:v>612203.42339730321</c:v>
                </c:pt>
                <c:pt idx="354">
                  <c:v>612203.42339730321</c:v>
                </c:pt>
                <c:pt idx="355">
                  <c:v>612203.42339730321</c:v>
                </c:pt>
                <c:pt idx="356">
                  <c:v>612203.42339730321</c:v>
                </c:pt>
                <c:pt idx="357">
                  <c:v>612203.42339730321</c:v>
                </c:pt>
                <c:pt idx="358">
                  <c:v>612203.42339730321</c:v>
                </c:pt>
                <c:pt idx="359">
                  <c:v>612203.42339730321</c:v>
                </c:pt>
                <c:pt idx="360">
                  <c:v>612203.42339730321</c:v>
                </c:pt>
                <c:pt idx="361">
                  <c:v>587715.28646141104</c:v>
                </c:pt>
                <c:pt idx="362">
                  <c:v>587715.28646141104</c:v>
                </c:pt>
                <c:pt idx="363">
                  <c:v>587715.28646141104</c:v>
                </c:pt>
                <c:pt idx="364">
                  <c:v>587715.28646141104</c:v>
                </c:pt>
                <c:pt idx="365">
                  <c:v>587715.28646141104</c:v>
                </c:pt>
                <c:pt idx="366">
                  <c:v>587715.28646141104</c:v>
                </c:pt>
                <c:pt idx="367">
                  <c:v>587715.28646141104</c:v>
                </c:pt>
                <c:pt idx="368">
                  <c:v>587715.28646141104</c:v>
                </c:pt>
                <c:pt idx="369">
                  <c:v>587715.28646141104</c:v>
                </c:pt>
                <c:pt idx="370">
                  <c:v>587715.28646141104</c:v>
                </c:pt>
                <c:pt idx="371">
                  <c:v>587715.28646141104</c:v>
                </c:pt>
                <c:pt idx="372">
                  <c:v>587715.28646141104</c:v>
                </c:pt>
                <c:pt idx="373">
                  <c:v>564206.67500295455</c:v>
                </c:pt>
                <c:pt idx="374">
                  <c:v>564206.67500295455</c:v>
                </c:pt>
                <c:pt idx="375">
                  <c:v>564206.67500295455</c:v>
                </c:pt>
                <c:pt idx="376">
                  <c:v>564206.67500295455</c:v>
                </c:pt>
                <c:pt idx="377">
                  <c:v>564206.67500295455</c:v>
                </c:pt>
                <c:pt idx="378">
                  <c:v>564206.67500295455</c:v>
                </c:pt>
                <c:pt idx="379">
                  <c:v>564206.67500295455</c:v>
                </c:pt>
                <c:pt idx="380">
                  <c:v>564206.67500295455</c:v>
                </c:pt>
                <c:pt idx="381">
                  <c:v>564206.67500295455</c:v>
                </c:pt>
                <c:pt idx="382">
                  <c:v>564206.67500295455</c:v>
                </c:pt>
                <c:pt idx="383">
                  <c:v>564206.67500295455</c:v>
                </c:pt>
                <c:pt idx="384">
                  <c:v>564206.67500295455</c:v>
                </c:pt>
                <c:pt idx="385">
                  <c:v>541638.4080028364</c:v>
                </c:pt>
                <c:pt idx="386">
                  <c:v>541638.4080028364</c:v>
                </c:pt>
                <c:pt idx="387">
                  <c:v>541638.4080028364</c:v>
                </c:pt>
                <c:pt idx="388">
                  <c:v>541638.4080028364</c:v>
                </c:pt>
                <c:pt idx="389">
                  <c:v>541638.4080028364</c:v>
                </c:pt>
                <c:pt idx="390">
                  <c:v>541638.4080028364</c:v>
                </c:pt>
                <c:pt idx="391">
                  <c:v>541638.4080028364</c:v>
                </c:pt>
                <c:pt idx="392">
                  <c:v>541638.4080028364</c:v>
                </c:pt>
                <c:pt idx="393">
                  <c:v>541638.4080028364</c:v>
                </c:pt>
                <c:pt idx="394">
                  <c:v>541638.4080028364</c:v>
                </c:pt>
                <c:pt idx="395">
                  <c:v>541638.4080028364</c:v>
                </c:pt>
                <c:pt idx="396">
                  <c:v>541638.4080028364</c:v>
                </c:pt>
                <c:pt idx="397">
                  <c:v>519972.87168272294</c:v>
                </c:pt>
                <c:pt idx="398">
                  <c:v>519972.87168272294</c:v>
                </c:pt>
                <c:pt idx="399">
                  <c:v>519972.87168272294</c:v>
                </c:pt>
                <c:pt idx="400">
                  <c:v>519972.87168272294</c:v>
                </c:pt>
                <c:pt idx="401">
                  <c:v>519972.87168272294</c:v>
                </c:pt>
                <c:pt idx="402">
                  <c:v>519972.87168272294</c:v>
                </c:pt>
                <c:pt idx="403">
                  <c:v>519972.87168272294</c:v>
                </c:pt>
                <c:pt idx="404">
                  <c:v>519972.87168272294</c:v>
                </c:pt>
                <c:pt idx="405">
                  <c:v>519972.87168272294</c:v>
                </c:pt>
                <c:pt idx="406">
                  <c:v>519972.87168272294</c:v>
                </c:pt>
                <c:pt idx="407">
                  <c:v>519972.87168272294</c:v>
                </c:pt>
                <c:pt idx="408">
                  <c:v>519972.87168272294</c:v>
                </c:pt>
                <c:pt idx="409">
                  <c:v>499173.95681541401</c:v>
                </c:pt>
                <c:pt idx="410">
                  <c:v>499173.95681541401</c:v>
                </c:pt>
                <c:pt idx="411">
                  <c:v>499173.95681541401</c:v>
                </c:pt>
                <c:pt idx="412">
                  <c:v>499173.95681541401</c:v>
                </c:pt>
                <c:pt idx="413">
                  <c:v>499173.95681541401</c:v>
                </c:pt>
                <c:pt idx="414">
                  <c:v>499173.95681541401</c:v>
                </c:pt>
                <c:pt idx="415">
                  <c:v>499173.95681541401</c:v>
                </c:pt>
                <c:pt idx="416">
                  <c:v>499173.95681541401</c:v>
                </c:pt>
                <c:pt idx="417">
                  <c:v>499173.95681541401</c:v>
                </c:pt>
                <c:pt idx="418">
                  <c:v>499173.95681541401</c:v>
                </c:pt>
                <c:pt idx="419">
                  <c:v>499173.95681541401</c:v>
                </c:pt>
                <c:pt idx="420">
                  <c:v>499173.95681541401</c:v>
                </c:pt>
                <c:pt idx="421">
                  <c:v>479206.99854279746</c:v>
                </c:pt>
                <c:pt idx="422">
                  <c:v>479206.99854279746</c:v>
                </c:pt>
                <c:pt idx="423">
                  <c:v>479206.99854279746</c:v>
                </c:pt>
                <c:pt idx="424">
                  <c:v>479206.99854279746</c:v>
                </c:pt>
                <c:pt idx="425">
                  <c:v>479206.99854279746</c:v>
                </c:pt>
                <c:pt idx="426">
                  <c:v>479206.99854279746</c:v>
                </c:pt>
                <c:pt idx="427">
                  <c:v>479206.99854279746</c:v>
                </c:pt>
                <c:pt idx="428">
                  <c:v>479206.99854279746</c:v>
                </c:pt>
                <c:pt idx="429">
                  <c:v>479206.99854279746</c:v>
                </c:pt>
                <c:pt idx="430">
                  <c:v>479206.99854279746</c:v>
                </c:pt>
                <c:pt idx="431">
                  <c:v>479206.99854279746</c:v>
                </c:pt>
                <c:pt idx="432">
                  <c:v>479206.99854279746</c:v>
                </c:pt>
                <c:pt idx="433">
                  <c:v>460038.71860108554</c:v>
                </c:pt>
                <c:pt idx="434">
                  <c:v>460038.71860108554</c:v>
                </c:pt>
                <c:pt idx="435">
                  <c:v>460038.71860108554</c:v>
                </c:pt>
                <c:pt idx="436">
                  <c:v>460038.71860108554</c:v>
                </c:pt>
                <c:pt idx="437">
                  <c:v>460038.71860108554</c:v>
                </c:pt>
                <c:pt idx="438">
                  <c:v>460038.71860108554</c:v>
                </c:pt>
                <c:pt idx="439">
                  <c:v>460038.71860108554</c:v>
                </c:pt>
                <c:pt idx="440">
                  <c:v>460038.71860108554</c:v>
                </c:pt>
                <c:pt idx="441">
                  <c:v>460038.71860108554</c:v>
                </c:pt>
                <c:pt idx="442">
                  <c:v>460038.71860108554</c:v>
                </c:pt>
                <c:pt idx="443">
                  <c:v>460038.71860108554</c:v>
                </c:pt>
                <c:pt idx="444">
                  <c:v>460038.71860108554</c:v>
                </c:pt>
                <c:pt idx="445">
                  <c:v>441637.16985704208</c:v>
                </c:pt>
                <c:pt idx="446">
                  <c:v>441637.16985704208</c:v>
                </c:pt>
                <c:pt idx="447">
                  <c:v>441637.16985704208</c:v>
                </c:pt>
                <c:pt idx="448">
                  <c:v>441637.16985704208</c:v>
                </c:pt>
                <c:pt idx="449">
                  <c:v>441637.16985704208</c:v>
                </c:pt>
                <c:pt idx="450">
                  <c:v>441637.16985704208</c:v>
                </c:pt>
                <c:pt idx="451">
                  <c:v>441637.16985704208</c:v>
                </c:pt>
                <c:pt idx="452">
                  <c:v>441637.16985704208</c:v>
                </c:pt>
                <c:pt idx="453">
                  <c:v>441637.16985704208</c:v>
                </c:pt>
                <c:pt idx="454">
                  <c:v>441637.16985704208</c:v>
                </c:pt>
                <c:pt idx="455">
                  <c:v>441637.16985704208</c:v>
                </c:pt>
                <c:pt idx="456">
                  <c:v>441637.16985704208</c:v>
                </c:pt>
                <c:pt idx="457">
                  <c:v>423971.68306276039</c:v>
                </c:pt>
                <c:pt idx="458">
                  <c:v>423971.68306276039</c:v>
                </c:pt>
                <c:pt idx="459">
                  <c:v>423971.68306276039</c:v>
                </c:pt>
                <c:pt idx="460">
                  <c:v>423971.68306276039</c:v>
                </c:pt>
                <c:pt idx="461">
                  <c:v>423971.68306276039</c:v>
                </c:pt>
                <c:pt idx="462">
                  <c:v>423971.68306276039</c:v>
                </c:pt>
                <c:pt idx="463">
                  <c:v>423971.68306276039</c:v>
                </c:pt>
                <c:pt idx="464">
                  <c:v>423971.68306276039</c:v>
                </c:pt>
                <c:pt idx="465">
                  <c:v>423971.68306276039</c:v>
                </c:pt>
                <c:pt idx="466">
                  <c:v>423971.68306276039</c:v>
                </c:pt>
                <c:pt idx="467">
                  <c:v>423971.68306276039</c:v>
                </c:pt>
                <c:pt idx="468">
                  <c:v>423971.68306276039</c:v>
                </c:pt>
                <c:pt idx="469">
                  <c:v>407012.81574024993</c:v>
                </c:pt>
                <c:pt idx="470">
                  <c:v>407012.81574024993</c:v>
                </c:pt>
                <c:pt idx="471">
                  <c:v>407012.81574024993</c:v>
                </c:pt>
                <c:pt idx="472">
                  <c:v>407012.81574024993</c:v>
                </c:pt>
                <c:pt idx="473">
                  <c:v>407012.81574024993</c:v>
                </c:pt>
                <c:pt idx="474">
                  <c:v>407012.81574024993</c:v>
                </c:pt>
                <c:pt idx="475">
                  <c:v>407012.81574024993</c:v>
                </c:pt>
                <c:pt idx="476">
                  <c:v>407012.81574024993</c:v>
                </c:pt>
                <c:pt idx="477">
                  <c:v>407012.81574024993</c:v>
                </c:pt>
                <c:pt idx="478">
                  <c:v>407012.81574024993</c:v>
                </c:pt>
                <c:pt idx="479">
                  <c:v>407012.81574024993</c:v>
                </c:pt>
                <c:pt idx="480">
                  <c:v>407012.81574024993</c:v>
                </c:pt>
                <c:pt idx="481">
                  <c:v>390732.30311063991</c:v>
                </c:pt>
                <c:pt idx="482">
                  <c:v>390732.30311063991</c:v>
                </c:pt>
                <c:pt idx="483">
                  <c:v>390732.30311063991</c:v>
                </c:pt>
                <c:pt idx="484">
                  <c:v>390732.30311063991</c:v>
                </c:pt>
                <c:pt idx="485">
                  <c:v>390732.30311063991</c:v>
                </c:pt>
                <c:pt idx="486">
                  <c:v>390732.30311063991</c:v>
                </c:pt>
                <c:pt idx="487">
                  <c:v>390732.30311063991</c:v>
                </c:pt>
                <c:pt idx="488">
                  <c:v>390732.30311063991</c:v>
                </c:pt>
                <c:pt idx="489">
                  <c:v>390732.30311063991</c:v>
                </c:pt>
                <c:pt idx="490">
                  <c:v>390732.30311063991</c:v>
                </c:pt>
                <c:pt idx="491">
                  <c:v>390732.30311063991</c:v>
                </c:pt>
                <c:pt idx="492">
                  <c:v>390732.30311063991</c:v>
                </c:pt>
                <c:pt idx="493">
                  <c:v>375103.01098621433</c:v>
                </c:pt>
                <c:pt idx="494">
                  <c:v>375103.01098621433</c:v>
                </c:pt>
                <c:pt idx="495">
                  <c:v>375103.01098621433</c:v>
                </c:pt>
                <c:pt idx="496">
                  <c:v>375103.01098621433</c:v>
                </c:pt>
                <c:pt idx="497">
                  <c:v>375103.01098621433</c:v>
                </c:pt>
                <c:pt idx="498">
                  <c:v>375103.01098621433</c:v>
                </c:pt>
                <c:pt idx="499">
                  <c:v>375103.01098621433</c:v>
                </c:pt>
                <c:pt idx="500">
                  <c:v>375103.01098621433</c:v>
                </c:pt>
                <c:pt idx="501">
                  <c:v>375103.01098621433</c:v>
                </c:pt>
                <c:pt idx="502">
                  <c:v>375103.01098621433</c:v>
                </c:pt>
                <c:pt idx="503">
                  <c:v>375103.01098621433</c:v>
                </c:pt>
                <c:pt idx="504">
                  <c:v>375103.01098621433</c:v>
                </c:pt>
                <c:pt idx="505">
                  <c:v>360098.89054676576</c:v>
                </c:pt>
                <c:pt idx="506">
                  <c:v>360098.89054676576</c:v>
                </c:pt>
                <c:pt idx="507">
                  <c:v>360098.89054676576</c:v>
                </c:pt>
                <c:pt idx="508">
                  <c:v>360098.89054676576</c:v>
                </c:pt>
                <c:pt idx="509">
                  <c:v>360098.89054676576</c:v>
                </c:pt>
                <c:pt idx="510">
                  <c:v>360098.89054676576</c:v>
                </c:pt>
                <c:pt idx="511">
                  <c:v>360098.89054676576</c:v>
                </c:pt>
                <c:pt idx="512">
                  <c:v>360098.89054676576</c:v>
                </c:pt>
                <c:pt idx="513">
                  <c:v>360098.89054676576</c:v>
                </c:pt>
                <c:pt idx="514">
                  <c:v>360098.89054676576</c:v>
                </c:pt>
                <c:pt idx="515">
                  <c:v>360098.89054676576</c:v>
                </c:pt>
                <c:pt idx="516">
                  <c:v>360098.89054676576</c:v>
                </c:pt>
                <c:pt idx="517">
                  <c:v>345694.93492489512</c:v>
                </c:pt>
                <c:pt idx="518">
                  <c:v>345694.93492489512</c:v>
                </c:pt>
                <c:pt idx="519">
                  <c:v>345694.93492489512</c:v>
                </c:pt>
                <c:pt idx="520">
                  <c:v>345694.93492489512</c:v>
                </c:pt>
                <c:pt idx="521">
                  <c:v>345694.93492489512</c:v>
                </c:pt>
                <c:pt idx="522">
                  <c:v>345694.93492489512</c:v>
                </c:pt>
                <c:pt idx="523">
                  <c:v>345694.93492489512</c:v>
                </c:pt>
                <c:pt idx="524">
                  <c:v>345694.93492489512</c:v>
                </c:pt>
                <c:pt idx="525">
                  <c:v>345694.93492489512</c:v>
                </c:pt>
                <c:pt idx="526">
                  <c:v>345694.93492489512</c:v>
                </c:pt>
                <c:pt idx="527">
                  <c:v>345694.93492489512</c:v>
                </c:pt>
                <c:pt idx="528">
                  <c:v>345694.93492489512</c:v>
                </c:pt>
                <c:pt idx="529">
                  <c:v>331867.13752789929</c:v>
                </c:pt>
                <c:pt idx="530">
                  <c:v>331867.13752789929</c:v>
                </c:pt>
                <c:pt idx="531">
                  <c:v>331867.13752789929</c:v>
                </c:pt>
                <c:pt idx="532">
                  <c:v>331867.13752789929</c:v>
                </c:pt>
                <c:pt idx="533">
                  <c:v>331867.13752789929</c:v>
                </c:pt>
                <c:pt idx="534">
                  <c:v>331867.13752789929</c:v>
                </c:pt>
                <c:pt idx="535">
                  <c:v>331867.13752789929</c:v>
                </c:pt>
                <c:pt idx="536">
                  <c:v>331867.13752789929</c:v>
                </c:pt>
                <c:pt idx="537">
                  <c:v>331867.13752789929</c:v>
                </c:pt>
                <c:pt idx="538">
                  <c:v>331867.13752789929</c:v>
                </c:pt>
                <c:pt idx="539">
                  <c:v>331867.13752789929</c:v>
                </c:pt>
                <c:pt idx="540">
                  <c:v>331867.13752789929</c:v>
                </c:pt>
                <c:pt idx="541">
                  <c:v>318592.45202678331</c:v>
                </c:pt>
                <c:pt idx="542">
                  <c:v>318592.45202678331</c:v>
                </c:pt>
                <c:pt idx="543">
                  <c:v>318592.45202678331</c:v>
                </c:pt>
                <c:pt idx="544">
                  <c:v>318592.45202678331</c:v>
                </c:pt>
                <c:pt idx="545">
                  <c:v>318592.45202678331</c:v>
                </c:pt>
                <c:pt idx="546">
                  <c:v>318592.45202678331</c:v>
                </c:pt>
                <c:pt idx="547">
                  <c:v>318592.45202678331</c:v>
                </c:pt>
                <c:pt idx="548">
                  <c:v>318592.45202678331</c:v>
                </c:pt>
                <c:pt idx="549">
                  <c:v>318592.45202678331</c:v>
                </c:pt>
                <c:pt idx="550">
                  <c:v>318592.45202678331</c:v>
                </c:pt>
                <c:pt idx="551">
                  <c:v>318592.45202678331</c:v>
                </c:pt>
                <c:pt idx="552">
                  <c:v>318592.45202678331</c:v>
                </c:pt>
                <c:pt idx="553">
                  <c:v>305848.75394571194</c:v>
                </c:pt>
                <c:pt idx="554">
                  <c:v>305848.75394571194</c:v>
                </c:pt>
                <c:pt idx="555">
                  <c:v>305848.75394571194</c:v>
                </c:pt>
                <c:pt idx="556">
                  <c:v>305848.75394571194</c:v>
                </c:pt>
                <c:pt idx="557">
                  <c:v>305848.75394571194</c:v>
                </c:pt>
                <c:pt idx="558">
                  <c:v>305848.75394571194</c:v>
                </c:pt>
                <c:pt idx="559">
                  <c:v>305848.75394571194</c:v>
                </c:pt>
                <c:pt idx="560">
                  <c:v>305848.75394571194</c:v>
                </c:pt>
                <c:pt idx="561">
                  <c:v>305848.75394571194</c:v>
                </c:pt>
                <c:pt idx="562">
                  <c:v>305848.75394571194</c:v>
                </c:pt>
                <c:pt idx="563">
                  <c:v>305848.75394571194</c:v>
                </c:pt>
                <c:pt idx="564">
                  <c:v>305848.75394571194</c:v>
                </c:pt>
                <c:pt idx="565">
                  <c:v>293614.80378788343</c:v>
                </c:pt>
                <c:pt idx="566">
                  <c:v>293614.80378788343</c:v>
                </c:pt>
                <c:pt idx="567">
                  <c:v>293614.80378788343</c:v>
                </c:pt>
                <c:pt idx="568">
                  <c:v>293614.80378788343</c:v>
                </c:pt>
                <c:pt idx="569">
                  <c:v>293614.80378788343</c:v>
                </c:pt>
                <c:pt idx="570">
                  <c:v>293614.80378788343</c:v>
                </c:pt>
                <c:pt idx="571">
                  <c:v>293614.80378788343</c:v>
                </c:pt>
                <c:pt idx="572">
                  <c:v>293614.80378788343</c:v>
                </c:pt>
                <c:pt idx="573">
                  <c:v>293614.80378788343</c:v>
                </c:pt>
                <c:pt idx="574">
                  <c:v>293614.80378788343</c:v>
                </c:pt>
                <c:pt idx="575">
                  <c:v>293614.80378788343</c:v>
                </c:pt>
                <c:pt idx="576">
                  <c:v>293614.80378788343</c:v>
                </c:pt>
                <c:pt idx="577">
                  <c:v>281870.21163636807</c:v>
                </c:pt>
                <c:pt idx="578">
                  <c:v>281870.21163636807</c:v>
                </c:pt>
                <c:pt idx="579">
                  <c:v>281870.21163636807</c:v>
                </c:pt>
                <c:pt idx="580">
                  <c:v>281870.21163636807</c:v>
                </c:pt>
                <c:pt idx="581">
                  <c:v>281870.21163636807</c:v>
                </c:pt>
                <c:pt idx="582">
                  <c:v>281870.21163636807</c:v>
                </c:pt>
                <c:pt idx="583">
                  <c:v>281870.21163636807</c:v>
                </c:pt>
                <c:pt idx="584">
                  <c:v>281870.21163636807</c:v>
                </c:pt>
                <c:pt idx="585">
                  <c:v>281870.21163636807</c:v>
                </c:pt>
                <c:pt idx="586">
                  <c:v>281870.21163636807</c:v>
                </c:pt>
                <c:pt idx="587">
                  <c:v>281870.21163636807</c:v>
                </c:pt>
                <c:pt idx="588">
                  <c:v>281870.21163636807</c:v>
                </c:pt>
                <c:pt idx="589">
                  <c:v>270595.40317091334</c:v>
                </c:pt>
                <c:pt idx="590">
                  <c:v>270595.40317091334</c:v>
                </c:pt>
                <c:pt idx="591">
                  <c:v>270595.40317091334</c:v>
                </c:pt>
                <c:pt idx="592">
                  <c:v>270595.40317091334</c:v>
                </c:pt>
                <c:pt idx="593">
                  <c:v>270595.40317091334</c:v>
                </c:pt>
                <c:pt idx="594">
                  <c:v>270595.40317091334</c:v>
                </c:pt>
                <c:pt idx="595">
                  <c:v>270595.40317091334</c:v>
                </c:pt>
                <c:pt idx="596">
                  <c:v>270595.40317091334</c:v>
                </c:pt>
                <c:pt idx="597">
                  <c:v>270595.40317091334</c:v>
                </c:pt>
                <c:pt idx="598">
                  <c:v>270595.40317091334</c:v>
                </c:pt>
                <c:pt idx="599">
                  <c:v>270595.40317091334</c:v>
                </c:pt>
                <c:pt idx="600">
                  <c:v>270595.40317091334</c:v>
                </c:pt>
                <c:pt idx="601">
                  <c:v>259771.58704407679</c:v>
                </c:pt>
                <c:pt idx="602">
                  <c:v>259771.58704407679</c:v>
                </c:pt>
                <c:pt idx="603">
                  <c:v>259771.58704407679</c:v>
                </c:pt>
                <c:pt idx="604">
                  <c:v>259771.58704407679</c:v>
                </c:pt>
                <c:pt idx="605">
                  <c:v>259771.58704407679</c:v>
                </c:pt>
                <c:pt idx="606">
                  <c:v>259771.58704407679</c:v>
                </c:pt>
                <c:pt idx="607">
                  <c:v>259771.58704407679</c:v>
                </c:pt>
                <c:pt idx="608">
                  <c:v>259771.58704407679</c:v>
                </c:pt>
                <c:pt idx="609">
                  <c:v>259771.58704407679</c:v>
                </c:pt>
                <c:pt idx="610">
                  <c:v>259771.58704407679</c:v>
                </c:pt>
                <c:pt idx="611">
                  <c:v>259771.58704407679</c:v>
                </c:pt>
                <c:pt idx="612">
                  <c:v>259771.58704407679</c:v>
                </c:pt>
                <c:pt idx="613">
                  <c:v>249380.72356231371</c:v>
                </c:pt>
                <c:pt idx="614">
                  <c:v>249380.72356231371</c:v>
                </c:pt>
                <c:pt idx="615">
                  <c:v>249380.72356231371</c:v>
                </c:pt>
                <c:pt idx="616">
                  <c:v>249380.72356231371</c:v>
                </c:pt>
                <c:pt idx="617">
                  <c:v>249380.72356231371</c:v>
                </c:pt>
                <c:pt idx="618">
                  <c:v>249380.72356231371</c:v>
                </c:pt>
                <c:pt idx="619">
                  <c:v>249380.72356231371</c:v>
                </c:pt>
                <c:pt idx="620">
                  <c:v>249380.72356231371</c:v>
                </c:pt>
                <c:pt idx="621">
                  <c:v>249380.72356231371</c:v>
                </c:pt>
                <c:pt idx="622">
                  <c:v>249380.72356231371</c:v>
                </c:pt>
                <c:pt idx="623">
                  <c:v>249380.72356231371</c:v>
                </c:pt>
                <c:pt idx="624">
                  <c:v>249380.72356231371</c:v>
                </c:pt>
                <c:pt idx="625">
                  <c:v>239405.49461982114</c:v>
                </c:pt>
                <c:pt idx="626">
                  <c:v>239405.49461982114</c:v>
                </c:pt>
                <c:pt idx="627">
                  <c:v>239405.49461982114</c:v>
                </c:pt>
                <c:pt idx="628">
                  <c:v>239405.49461982114</c:v>
                </c:pt>
                <c:pt idx="629">
                  <c:v>239405.49461982114</c:v>
                </c:pt>
                <c:pt idx="630">
                  <c:v>239405.49461982114</c:v>
                </c:pt>
                <c:pt idx="631">
                  <c:v>239405.49461982114</c:v>
                </c:pt>
                <c:pt idx="632">
                  <c:v>239405.49461982114</c:v>
                </c:pt>
                <c:pt idx="633">
                  <c:v>239405.49461982114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E-471E-8963-96354D0D5BB0}"/>
            </c:ext>
          </c:extLst>
        </c:ser>
        <c:ser>
          <c:idx val="1"/>
          <c:order val="1"/>
          <c:tx>
            <c:strRef>
              <c:f>'Token Releasing Plan'!$C$16</c:f>
              <c:strCache>
                <c:ptCount val="1"/>
                <c:pt idx="0">
                  <c:v>Reward to Voters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'Token Releasing Plan'!$A$17:$A$650</c:f>
              <c:strCache>
                <c:ptCount val="634"/>
                <c:pt idx="0">
                  <c:v>W0 - Pilot Show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  <c:pt idx="9">
                  <c:v>W9</c:v>
                </c:pt>
                <c:pt idx="10">
                  <c:v>W10</c:v>
                </c:pt>
                <c:pt idx="11">
                  <c:v>W11</c:v>
                </c:pt>
                <c:pt idx="12">
                  <c:v>W12</c:v>
                </c:pt>
                <c:pt idx="13">
                  <c:v>W13</c:v>
                </c:pt>
                <c:pt idx="14">
                  <c:v>W14</c:v>
                </c:pt>
                <c:pt idx="15">
                  <c:v>W15</c:v>
                </c:pt>
                <c:pt idx="16">
                  <c:v>W16</c:v>
                </c:pt>
                <c:pt idx="17">
                  <c:v>W17</c:v>
                </c:pt>
                <c:pt idx="18">
                  <c:v>W18</c:v>
                </c:pt>
                <c:pt idx="19">
                  <c:v>W19</c:v>
                </c:pt>
                <c:pt idx="20">
                  <c:v>W20</c:v>
                </c:pt>
                <c:pt idx="21">
                  <c:v>W21</c:v>
                </c:pt>
                <c:pt idx="22">
                  <c:v>W22</c:v>
                </c:pt>
                <c:pt idx="23">
                  <c:v>W23</c:v>
                </c:pt>
                <c:pt idx="24">
                  <c:v>W24</c:v>
                </c:pt>
                <c:pt idx="25">
                  <c:v>W25</c:v>
                </c:pt>
                <c:pt idx="26">
                  <c:v>W26</c:v>
                </c:pt>
                <c:pt idx="27">
                  <c:v>W27</c:v>
                </c:pt>
                <c:pt idx="28">
                  <c:v>W28</c:v>
                </c:pt>
                <c:pt idx="29">
                  <c:v>W29</c:v>
                </c:pt>
                <c:pt idx="30">
                  <c:v>W30</c:v>
                </c:pt>
                <c:pt idx="31">
                  <c:v>W31</c:v>
                </c:pt>
                <c:pt idx="32">
                  <c:v>W32</c:v>
                </c:pt>
                <c:pt idx="33">
                  <c:v>W33</c:v>
                </c:pt>
                <c:pt idx="34">
                  <c:v>W34</c:v>
                </c:pt>
                <c:pt idx="35">
                  <c:v>W35</c:v>
                </c:pt>
                <c:pt idx="36">
                  <c:v>W36</c:v>
                </c:pt>
                <c:pt idx="37">
                  <c:v>W37</c:v>
                </c:pt>
                <c:pt idx="38">
                  <c:v>W38</c:v>
                </c:pt>
                <c:pt idx="39">
                  <c:v>W39</c:v>
                </c:pt>
                <c:pt idx="40">
                  <c:v>W40</c:v>
                </c:pt>
                <c:pt idx="41">
                  <c:v>W41</c:v>
                </c:pt>
                <c:pt idx="42">
                  <c:v>W42</c:v>
                </c:pt>
                <c:pt idx="43">
                  <c:v>W43</c:v>
                </c:pt>
                <c:pt idx="44">
                  <c:v>W44</c:v>
                </c:pt>
                <c:pt idx="45">
                  <c:v>W45</c:v>
                </c:pt>
                <c:pt idx="46">
                  <c:v>W46</c:v>
                </c:pt>
                <c:pt idx="47">
                  <c:v>W47</c:v>
                </c:pt>
                <c:pt idx="48">
                  <c:v>W48</c:v>
                </c:pt>
                <c:pt idx="49">
                  <c:v>W49</c:v>
                </c:pt>
                <c:pt idx="50">
                  <c:v>W50</c:v>
                </c:pt>
                <c:pt idx="51">
                  <c:v>W51</c:v>
                </c:pt>
                <c:pt idx="52">
                  <c:v>W52</c:v>
                </c:pt>
                <c:pt idx="53">
                  <c:v>W53</c:v>
                </c:pt>
                <c:pt idx="54">
                  <c:v>W54</c:v>
                </c:pt>
                <c:pt idx="55">
                  <c:v>W55</c:v>
                </c:pt>
                <c:pt idx="56">
                  <c:v>W56</c:v>
                </c:pt>
                <c:pt idx="57">
                  <c:v>W57</c:v>
                </c:pt>
                <c:pt idx="58">
                  <c:v>W58</c:v>
                </c:pt>
                <c:pt idx="59">
                  <c:v>W59</c:v>
                </c:pt>
                <c:pt idx="60">
                  <c:v>W60</c:v>
                </c:pt>
                <c:pt idx="61">
                  <c:v>W61</c:v>
                </c:pt>
                <c:pt idx="62">
                  <c:v>W62</c:v>
                </c:pt>
                <c:pt idx="63">
                  <c:v>W63</c:v>
                </c:pt>
                <c:pt idx="64">
                  <c:v>W64</c:v>
                </c:pt>
                <c:pt idx="65">
                  <c:v>W65</c:v>
                </c:pt>
                <c:pt idx="66">
                  <c:v>W66</c:v>
                </c:pt>
                <c:pt idx="67">
                  <c:v>W67</c:v>
                </c:pt>
                <c:pt idx="68">
                  <c:v>W68</c:v>
                </c:pt>
                <c:pt idx="69">
                  <c:v>W69</c:v>
                </c:pt>
                <c:pt idx="70">
                  <c:v>W70</c:v>
                </c:pt>
                <c:pt idx="71">
                  <c:v>W71</c:v>
                </c:pt>
                <c:pt idx="72">
                  <c:v>W72</c:v>
                </c:pt>
                <c:pt idx="73">
                  <c:v>W73</c:v>
                </c:pt>
                <c:pt idx="74">
                  <c:v>W74</c:v>
                </c:pt>
                <c:pt idx="75">
                  <c:v>W75</c:v>
                </c:pt>
                <c:pt idx="76">
                  <c:v>W76</c:v>
                </c:pt>
                <c:pt idx="77">
                  <c:v>W77</c:v>
                </c:pt>
                <c:pt idx="78">
                  <c:v>W78</c:v>
                </c:pt>
                <c:pt idx="79">
                  <c:v>W79</c:v>
                </c:pt>
                <c:pt idx="80">
                  <c:v>W80</c:v>
                </c:pt>
                <c:pt idx="81">
                  <c:v>W81</c:v>
                </c:pt>
                <c:pt idx="82">
                  <c:v>W82</c:v>
                </c:pt>
                <c:pt idx="83">
                  <c:v>W83</c:v>
                </c:pt>
                <c:pt idx="84">
                  <c:v>W84</c:v>
                </c:pt>
                <c:pt idx="85">
                  <c:v>W85</c:v>
                </c:pt>
                <c:pt idx="86">
                  <c:v>W86</c:v>
                </c:pt>
                <c:pt idx="87">
                  <c:v>W87</c:v>
                </c:pt>
                <c:pt idx="88">
                  <c:v>W88</c:v>
                </c:pt>
                <c:pt idx="89">
                  <c:v>W89</c:v>
                </c:pt>
                <c:pt idx="90">
                  <c:v>W90</c:v>
                </c:pt>
                <c:pt idx="91">
                  <c:v>W91</c:v>
                </c:pt>
                <c:pt idx="92">
                  <c:v>W92</c:v>
                </c:pt>
                <c:pt idx="93">
                  <c:v>W93</c:v>
                </c:pt>
                <c:pt idx="94">
                  <c:v>W94</c:v>
                </c:pt>
                <c:pt idx="95">
                  <c:v>W95</c:v>
                </c:pt>
                <c:pt idx="96">
                  <c:v>W96</c:v>
                </c:pt>
                <c:pt idx="97">
                  <c:v>W97</c:v>
                </c:pt>
                <c:pt idx="98">
                  <c:v>W98</c:v>
                </c:pt>
                <c:pt idx="99">
                  <c:v>W99</c:v>
                </c:pt>
                <c:pt idx="100">
                  <c:v>W100</c:v>
                </c:pt>
                <c:pt idx="101">
                  <c:v>W101</c:v>
                </c:pt>
                <c:pt idx="102">
                  <c:v>W102</c:v>
                </c:pt>
                <c:pt idx="103">
                  <c:v>W103</c:v>
                </c:pt>
                <c:pt idx="104">
                  <c:v>W104</c:v>
                </c:pt>
                <c:pt idx="105">
                  <c:v>W105</c:v>
                </c:pt>
                <c:pt idx="106">
                  <c:v>W106</c:v>
                </c:pt>
                <c:pt idx="107">
                  <c:v>W107</c:v>
                </c:pt>
                <c:pt idx="108">
                  <c:v>W108</c:v>
                </c:pt>
                <c:pt idx="109">
                  <c:v>W109</c:v>
                </c:pt>
                <c:pt idx="110">
                  <c:v>W110</c:v>
                </c:pt>
                <c:pt idx="111">
                  <c:v>W111</c:v>
                </c:pt>
                <c:pt idx="112">
                  <c:v>W112</c:v>
                </c:pt>
                <c:pt idx="113">
                  <c:v>W113</c:v>
                </c:pt>
                <c:pt idx="114">
                  <c:v>W114</c:v>
                </c:pt>
                <c:pt idx="115">
                  <c:v>W115</c:v>
                </c:pt>
                <c:pt idx="116">
                  <c:v>W116</c:v>
                </c:pt>
                <c:pt idx="117">
                  <c:v>W117</c:v>
                </c:pt>
                <c:pt idx="118">
                  <c:v>W118</c:v>
                </c:pt>
                <c:pt idx="119">
                  <c:v>W119</c:v>
                </c:pt>
                <c:pt idx="120">
                  <c:v>W120</c:v>
                </c:pt>
                <c:pt idx="121">
                  <c:v>W121</c:v>
                </c:pt>
                <c:pt idx="122">
                  <c:v>W122</c:v>
                </c:pt>
                <c:pt idx="123">
                  <c:v>W123</c:v>
                </c:pt>
                <c:pt idx="124">
                  <c:v>W124</c:v>
                </c:pt>
                <c:pt idx="125">
                  <c:v>W125</c:v>
                </c:pt>
                <c:pt idx="126">
                  <c:v>W126</c:v>
                </c:pt>
                <c:pt idx="127">
                  <c:v>W127</c:v>
                </c:pt>
                <c:pt idx="128">
                  <c:v>W128</c:v>
                </c:pt>
                <c:pt idx="129">
                  <c:v>W129</c:v>
                </c:pt>
                <c:pt idx="130">
                  <c:v>W130</c:v>
                </c:pt>
                <c:pt idx="131">
                  <c:v>W131</c:v>
                </c:pt>
                <c:pt idx="132">
                  <c:v>W132</c:v>
                </c:pt>
                <c:pt idx="133">
                  <c:v>W133</c:v>
                </c:pt>
                <c:pt idx="134">
                  <c:v>W134</c:v>
                </c:pt>
                <c:pt idx="135">
                  <c:v>W135</c:v>
                </c:pt>
                <c:pt idx="136">
                  <c:v>W136</c:v>
                </c:pt>
                <c:pt idx="137">
                  <c:v>W137</c:v>
                </c:pt>
                <c:pt idx="138">
                  <c:v>W138</c:v>
                </c:pt>
                <c:pt idx="139">
                  <c:v>W139</c:v>
                </c:pt>
                <c:pt idx="140">
                  <c:v>W140</c:v>
                </c:pt>
                <c:pt idx="141">
                  <c:v>W141</c:v>
                </c:pt>
                <c:pt idx="142">
                  <c:v>W142</c:v>
                </c:pt>
                <c:pt idx="143">
                  <c:v>W143</c:v>
                </c:pt>
                <c:pt idx="144">
                  <c:v>W144</c:v>
                </c:pt>
                <c:pt idx="145">
                  <c:v>W145</c:v>
                </c:pt>
                <c:pt idx="146">
                  <c:v>W146</c:v>
                </c:pt>
                <c:pt idx="147">
                  <c:v>W147</c:v>
                </c:pt>
                <c:pt idx="148">
                  <c:v>W148</c:v>
                </c:pt>
                <c:pt idx="149">
                  <c:v>W149</c:v>
                </c:pt>
                <c:pt idx="150">
                  <c:v>W150</c:v>
                </c:pt>
                <c:pt idx="151">
                  <c:v>W151</c:v>
                </c:pt>
                <c:pt idx="152">
                  <c:v>W152</c:v>
                </c:pt>
                <c:pt idx="153">
                  <c:v>W153</c:v>
                </c:pt>
                <c:pt idx="154">
                  <c:v>W154</c:v>
                </c:pt>
                <c:pt idx="155">
                  <c:v>W155</c:v>
                </c:pt>
                <c:pt idx="156">
                  <c:v>W156</c:v>
                </c:pt>
                <c:pt idx="157">
                  <c:v>W157</c:v>
                </c:pt>
                <c:pt idx="158">
                  <c:v>W158</c:v>
                </c:pt>
                <c:pt idx="159">
                  <c:v>W159</c:v>
                </c:pt>
                <c:pt idx="160">
                  <c:v>W160</c:v>
                </c:pt>
                <c:pt idx="161">
                  <c:v>W161</c:v>
                </c:pt>
                <c:pt idx="162">
                  <c:v>W162</c:v>
                </c:pt>
                <c:pt idx="163">
                  <c:v>W163</c:v>
                </c:pt>
                <c:pt idx="164">
                  <c:v>W164</c:v>
                </c:pt>
                <c:pt idx="165">
                  <c:v>W165</c:v>
                </c:pt>
                <c:pt idx="166">
                  <c:v>W166</c:v>
                </c:pt>
                <c:pt idx="167">
                  <c:v>W167</c:v>
                </c:pt>
                <c:pt idx="168">
                  <c:v>W168</c:v>
                </c:pt>
                <c:pt idx="169">
                  <c:v>W169</c:v>
                </c:pt>
                <c:pt idx="170">
                  <c:v>W170</c:v>
                </c:pt>
                <c:pt idx="171">
                  <c:v>W171</c:v>
                </c:pt>
                <c:pt idx="172">
                  <c:v>W172</c:v>
                </c:pt>
                <c:pt idx="173">
                  <c:v>W173</c:v>
                </c:pt>
                <c:pt idx="174">
                  <c:v>W174</c:v>
                </c:pt>
                <c:pt idx="175">
                  <c:v>W175</c:v>
                </c:pt>
                <c:pt idx="176">
                  <c:v>W176</c:v>
                </c:pt>
                <c:pt idx="177">
                  <c:v>W177</c:v>
                </c:pt>
                <c:pt idx="178">
                  <c:v>W178</c:v>
                </c:pt>
                <c:pt idx="179">
                  <c:v>W179</c:v>
                </c:pt>
                <c:pt idx="180">
                  <c:v>W180</c:v>
                </c:pt>
                <c:pt idx="181">
                  <c:v>W181</c:v>
                </c:pt>
                <c:pt idx="182">
                  <c:v>W182</c:v>
                </c:pt>
                <c:pt idx="183">
                  <c:v>W183</c:v>
                </c:pt>
                <c:pt idx="184">
                  <c:v>W184</c:v>
                </c:pt>
                <c:pt idx="185">
                  <c:v>W185</c:v>
                </c:pt>
                <c:pt idx="186">
                  <c:v>W186</c:v>
                </c:pt>
                <c:pt idx="187">
                  <c:v>W187</c:v>
                </c:pt>
                <c:pt idx="188">
                  <c:v>W188</c:v>
                </c:pt>
                <c:pt idx="189">
                  <c:v>W189</c:v>
                </c:pt>
                <c:pt idx="190">
                  <c:v>W190</c:v>
                </c:pt>
                <c:pt idx="191">
                  <c:v>W191</c:v>
                </c:pt>
                <c:pt idx="192">
                  <c:v>W192</c:v>
                </c:pt>
                <c:pt idx="193">
                  <c:v>W193</c:v>
                </c:pt>
                <c:pt idx="194">
                  <c:v>W194</c:v>
                </c:pt>
                <c:pt idx="195">
                  <c:v>W195</c:v>
                </c:pt>
                <c:pt idx="196">
                  <c:v>W196</c:v>
                </c:pt>
                <c:pt idx="197">
                  <c:v>W197</c:v>
                </c:pt>
                <c:pt idx="198">
                  <c:v>W198</c:v>
                </c:pt>
                <c:pt idx="199">
                  <c:v>W199</c:v>
                </c:pt>
                <c:pt idx="200">
                  <c:v>W200</c:v>
                </c:pt>
                <c:pt idx="201">
                  <c:v>W201</c:v>
                </c:pt>
                <c:pt idx="202">
                  <c:v>W202</c:v>
                </c:pt>
                <c:pt idx="203">
                  <c:v>W203</c:v>
                </c:pt>
                <c:pt idx="204">
                  <c:v>W204</c:v>
                </c:pt>
                <c:pt idx="205">
                  <c:v>W205</c:v>
                </c:pt>
                <c:pt idx="206">
                  <c:v>W206</c:v>
                </c:pt>
                <c:pt idx="207">
                  <c:v>W207</c:v>
                </c:pt>
                <c:pt idx="208">
                  <c:v>W208</c:v>
                </c:pt>
                <c:pt idx="209">
                  <c:v>W209</c:v>
                </c:pt>
                <c:pt idx="210">
                  <c:v>W210</c:v>
                </c:pt>
                <c:pt idx="211">
                  <c:v>W211</c:v>
                </c:pt>
                <c:pt idx="212">
                  <c:v>W212</c:v>
                </c:pt>
                <c:pt idx="213">
                  <c:v>W213</c:v>
                </c:pt>
                <c:pt idx="214">
                  <c:v>W214</c:v>
                </c:pt>
                <c:pt idx="215">
                  <c:v>W215</c:v>
                </c:pt>
                <c:pt idx="216">
                  <c:v>W216</c:v>
                </c:pt>
                <c:pt idx="217">
                  <c:v>W217</c:v>
                </c:pt>
                <c:pt idx="218">
                  <c:v>W218</c:v>
                </c:pt>
                <c:pt idx="219">
                  <c:v>W219</c:v>
                </c:pt>
                <c:pt idx="220">
                  <c:v>W220</c:v>
                </c:pt>
                <c:pt idx="221">
                  <c:v>W221</c:v>
                </c:pt>
                <c:pt idx="222">
                  <c:v>W222</c:v>
                </c:pt>
                <c:pt idx="223">
                  <c:v>W223</c:v>
                </c:pt>
                <c:pt idx="224">
                  <c:v>W224</c:v>
                </c:pt>
                <c:pt idx="225">
                  <c:v>W225</c:v>
                </c:pt>
                <c:pt idx="226">
                  <c:v>W226</c:v>
                </c:pt>
                <c:pt idx="227">
                  <c:v>W227</c:v>
                </c:pt>
                <c:pt idx="228">
                  <c:v>W228</c:v>
                </c:pt>
                <c:pt idx="229">
                  <c:v>W229</c:v>
                </c:pt>
                <c:pt idx="230">
                  <c:v>W230</c:v>
                </c:pt>
                <c:pt idx="231">
                  <c:v>W231</c:v>
                </c:pt>
                <c:pt idx="232">
                  <c:v>W232</c:v>
                </c:pt>
                <c:pt idx="233">
                  <c:v>W233</c:v>
                </c:pt>
                <c:pt idx="234">
                  <c:v>W234</c:v>
                </c:pt>
                <c:pt idx="235">
                  <c:v>W235</c:v>
                </c:pt>
                <c:pt idx="236">
                  <c:v>W236</c:v>
                </c:pt>
                <c:pt idx="237">
                  <c:v>W237</c:v>
                </c:pt>
                <c:pt idx="238">
                  <c:v>W238</c:v>
                </c:pt>
                <c:pt idx="239">
                  <c:v>W239</c:v>
                </c:pt>
                <c:pt idx="240">
                  <c:v>W240</c:v>
                </c:pt>
                <c:pt idx="241">
                  <c:v>W241</c:v>
                </c:pt>
                <c:pt idx="242">
                  <c:v>W242</c:v>
                </c:pt>
                <c:pt idx="243">
                  <c:v>W243</c:v>
                </c:pt>
                <c:pt idx="244">
                  <c:v>W244</c:v>
                </c:pt>
                <c:pt idx="245">
                  <c:v>W245</c:v>
                </c:pt>
                <c:pt idx="246">
                  <c:v>W246</c:v>
                </c:pt>
                <c:pt idx="247">
                  <c:v>W247</c:v>
                </c:pt>
                <c:pt idx="248">
                  <c:v>W248</c:v>
                </c:pt>
                <c:pt idx="249">
                  <c:v>W249</c:v>
                </c:pt>
                <c:pt idx="250">
                  <c:v>W250</c:v>
                </c:pt>
                <c:pt idx="251">
                  <c:v>W251</c:v>
                </c:pt>
                <c:pt idx="252">
                  <c:v>W252</c:v>
                </c:pt>
                <c:pt idx="253">
                  <c:v>W253</c:v>
                </c:pt>
                <c:pt idx="254">
                  <c:v>W254</c:v>
                </c:pt>
                <c:pt idx="255">
                  <c:v>W255</c:v>
                </c:pt>
                <c:pt idx="256">
                  <c:v>W256</c:v>
                </c:pt>
                <c:pt idx="257">
                  <c:v>W257</c:v>
                </c:pt>
                <c:pt idx="258">
                  <c:v>W258</c:v>
                </c:pt>
                <c:pt idx="259">
                  <c:v>W259</c:v>
                </c:pt>
                <c:pt idx="260">
                  <c:v>W260</c:v>
                </c:pt>
                <c:pt idx="261">
                  <c:v>W261</c:v>
                </c:pt>
                <c:pt idx="262">
                  <c:v>W262</c:v>
                </c:pt>
                <c:pt idx="263">
                  <c:v>W263</c:v>
                </c:pt>
                <c:pt idx="264">
                  <c:v>W264</c:v>
                </c:pt>
                <c:pt idx="265">
                  <c:v>W265</c:v>
                </c:pt>
                <c:pt idx="266">
                  <c:v>W266</c:v>
                </c:pt>
                <c:pt idx="267">
                  <c:v>W267</c:v>
                </c:pt>
                <c:pt idx="268">
                  <c:v>W268</c:v>
                </c:pt>
                <c:pt idx="269">
                  <c:v>W269</c:v>
                </c:pt>
                <c:pt idx="270">
                  <c:v>W270</c:v>
                </c:pt>
                <c:pt idx="271">
                  <c:v>W271</c:v>
                </c:pt>
                <c:pt idx="272">
                  <c:v>W272</c:v>
                </c:pt>
                <c:pt idx="273">
                  <c:v>W273</c:v>
                </c:pt>
                <c:pt idx="274">
                  <c:v>W274</c:v>
                </c:pt>
                <c:pt idx="275">
                  <c:v>W275</c:v>
                </c:pt>
                <c:pt idx="276">
                  <c:v>W276</c:v>
                </c:pt>
                <c:pt idx="277">
                  <c:v>W277</c:v>
                </c:pt>
                <c:pt idx="278">
                  <c:v>W278</c:v>
                </c:pt>
                <c:pt idx="279">
                  <c:v>W279</c:v>
                </c:pt>
                <c:pt idx="280">
                  <c:v>W280</c:v>
                </c:pt>
                <c:pt idx="281">
                  <c:v>W281</c:v>
                </c:pt>
                <c:pt idx="282">
                  <c:v>W282</c:v>
                </c:pt>
                <c:pt idx="283">
                  <c:v>W283</c:v>
                </c:pt>
                <c:pt idx="284">
                  <c:v>W284</c:v>
                </c:pt>
                <c:pt idx="285">
                  <c:v>W285</c:v>
                </c:pt>
                <c:pt idx="286">
                  <c:v>W286</c:v>
                </c:pt>
                <c:pt idx="287">
                  <c:v>W287</c:v>
                </c:pt>
                <c:pt idx="288">
                  <c:v>W288</c:v>
                </c:pt>
                <c:pt idx="289">
                  <c:v>W289</c:v>
                </c:pt>
                <c:pt idx="290">
                  <c:v>W290</c:v>
                </c:pt>
                <c:pt idx="291">
                  <c:v>W291</c:v>
                </c:pt>
                <c:pt idx="292">
                  <c:v>W292</c:v>
                </c:pt>
                <c:pt idx="293">
                  <c:v>W293</c:v>
                </c:pt>
                <c:pt idx="294">
                  <c:v>W294</c:v>
                </c:pt>
                <c:pt idx="295">
                  <c:v>W295</c:v>
                </c:pt>
                <c:pt idx="296">
                  <c:v>W296</c:v>
                </c:pt>
                <c:pt idx="297">
                  <c:v>W297</c:v>
                </c:pt>
                <c:pt idx="298">
                  <c:v>W298</c:v>
                </c:pt>
                <c:pt idx="299">
                  <c:v>W299</c:v>
                </c:pt>
                <c:pt idx="300">
                  <c:v>W300</c:v>
                </c:pt>
                <c:pt idx="301">
                  <c:v>W301</c:v>
                </c:pt>
                <c:pt idx="302">
                  <c:v>W302</c:v>
                </c:pt>
                <c:pt idx="303">
                  <c:v>W303</c:v>
                </c:pt>
                <c:pt idx="304">
                  <c:v>W304</c:v>
                </c:pt>
                <c:pt idx="305">
                  <c:v>W305</c:v>
                </c:pt>
                <c:pt idx="306">
                  <c:v>W306</c:v>
                </c:pt>
                <c:pt idx="307">
                  <c:v>W307</c:v>
                </c:pt>
                <c:pt idx="308">
                  <c:v>W308</c:v>
                </c:pt>
                <c:pt idx="309">
                  <c:v>W309</c:v>
                </c:pt>
                <c:pt idx="310">
                  <c:v>W310</c:v>
                </c:pt>
                <c:pt idx="311">
                  <c:v>W311</c:v>
                </c:pt>
                <c:pt idx="312">
                  <c:v>W312</c:v>
                </c:pt>
                <c:pt idx="313">
                  <c:v>W313</c:v>
                </c:pt>
                <c:pt idx="314">
                  <c:v>W314</c:v>
                </c:pt>
                <c:pt idx="315">
                  <c:v>W315</c:v>
                </c:pt>
                <c:pt idx="316">
                  <c:v>W316</c:v>
                </c:pt>
                <c:pt idx="317">
                  <c:v>W317</c:v>
                </c:pt>
                <c:pt idx="318">
                  <c:v>W318</c:v>
                </c:pt>
                <c:pt idx="319">
                  <c:v>W319</c:v>
                </c:pt>
                <c:pt idx="320">
                  <c:v>W320</c:v>
                </c:pt>
                <c:pt idx="321">
                  <c:v>W321</c:v>
                </c:pt>
                <c:pt idx="322">
                  <c:v>W322</c:v>
                </c:pt>
                <c:pt idx="323">
                  <c:v>W323</c:v>
                </c:pt>
                <c:pt idx="324">
                  <c:v>W324</c:v>
                </c:pt>
                <c:pt idx="325">
                  <c:v>W325</c:v>
                </c:pt>
                <c:pt idx="326">
                  <c:v>W326</c:v>
                </c:pt>
                <c:pt idx="327">
                  <c:v>W327</c:v>
                </c:pt>
                <c:pt idx="328">
                  <c:v>W328</c:v>
                </c:pt>
                <c:pt idx="329">
                  <c:v>W329</c:v>
                </c:pt>
                <c:pt idx="330">
                  <c:v>W330</c:v>
                </c:pt>
                <c:pt idx="331">
                  <c:v>W331</c:v>
                </c:pt>
                <c:pt idx="332">
                  <c:v>W332</c:v>
                </c:pt>
                <c:pt idx="333">
                  <c:v>W333</c:v>
                </c:pt>
                <c:pt idx="334">
                  <c:v>W334</c:v>
                </c:pt>
                <c:pt idx="335">
                  <c:v>W335</c:v>
                </c:pt>
                <c:pt idx="336">
                  <c:v>W336</c:v>
                </c:pt>
                <c:pt idx="337">
                  <c:v>W337</c:v>
                </c:pt>
                <c:pt idx="338">
                  <c:v>W338</c:v>
                </c:pt>
                <c:pt idx="339">
                  <c:v>W339</c:v>
                </c:pt>
                <c:pt idx="340">
                  <c:v>W340</c:v>
                </c:pt>
                <c:pt idx="341">
                  <c:v>W341</c:v>
                </c:pt>
                <c:pt idx="342">
                  <c:v>W342</c:v>
                </c:pt>
                <c:pt idx="343">
                  <c:v>W343</c:v>
                </c:pt>
                <c:pt idx="344">
                  <c:v>W344</c:v>
                </c:pt>
                <c:pt idx="345">
                  <c:v>W345</c:v>
                </c:pt>
                <c:pt idx="346">
                  <c:v>W346</c:v>
                </c:pt>
                <c:pt idx="347">
                  <c:v>W347</c:v>
                </c:pt>
                <c:pt idx="348">
                  <c:v>W348</c:v>
                </c:pt>
                <c:pt idx="349">
                  <c:v>W349</c:v>
                </c:pt>
                <c:pt idx="350">
                  <c:v>W350</c:v>
                </c:pt>
                <c:pt idx="351">
                  <c:v>W351</c:v>
                </c:pt>
                <c:pt idx="352">
                  <c:v>W352</c:v>
                </c:pt>
                <c:pt idx="353">
                  <c:v>W353</c:v>
                </c:pt>
                <c:pt idx="354">
                  <c:v>W354</c:v>
                </c:pt>
                <c:pt idx="355">
                  <c:v>W355</c:v>
                </c:pt>
                <c:pt idx="356">
                  <c:v>W356</c:v>
                </c:pt>
                <c:pt idx="357">
                  <c:v>W357</c:v>
                </c:pt>
                <c:pt idx="358">
                  <c:v>W358</c:v>
                </c:pt>
                <c:pt idx="359">
                  <c:v>W359</c:v>
                </c:pt>
                <c:pt idx="360">
                  <c:v>W360</c:v>
                </c:pt>
                <c:pt idx="361">
                  <c:v>W361</c:v>
                </c:pt>
                <c:pt idx="362">
                  <c:v>W362</c:v>
                </c:pt>
                <c:pt idx="363">
                  <c:v>W363</c:v>
                </c:pt>
                <c:pt idx="364">
                  <c:v>W364</c:v>
                </c:pt>
                <c:pt idx="365">
                  <c:v>W365</c:v>
                </c:pt>
                <c:pt idx="366">
                  <c:v>W366</c:v>
                </c:pt>
                <c:pt idx="367">
                  <c:v>W367</c:v>
                </c:pt>
                <c:pt idx="368">
                  <c:v>W368</c:v>
                </c:pt>
                <c:pt idx="369">
                  <c:v>W369</c:v>
                </c:pt>
                <c:pt idx="370">
                  <c:v>W370</c:v>
                </c:pt>
                <c:pt idx="371">
                  <c:v>W371</c:v>
                </c:pt>
                <c:pt idx="372">
                  <c:v>W372</c:v>
                </c:pt>
                <c:pt idx="373">
                  <c:v>W373</c:v>
                </c:pt>
                <c:pt idx="374">
                  <c:v>W374</c:v>
                </c:pt>
                <c:pt idx="375">
                  <c:v>W375</c:v>
                </c:pt>
                <c:pt idx="376">
                  <c:v>W376</c:v>
                </c:pt>
                <c:pt idx="377">
                  <c:v>W377</c:v>
                </c:pt>
                <c:pt idx="378">
                  <c:v>W378</c:v>
                </c:pt>
                <c:pt idx="379">
                  <c:v>W379</c:v>
                </c:pt>
                <c:pt idx="380">
                  <c:v>W380</c:v>
                </c:pt>
                <c:pt idx="381">
                  <c:v>W381</c:v>
                </c:pt>
                <c:pt idx="382">
                  <c:v>W382</c:v>
                </c:pt>
                <c:pt idx="383">
                  <c:v>W383</c:v>
                </c:pt>
                <c:pt idx="384">
                  <c:v>W384</c:v>
                </c:pt>
                <c:pt idx="385">
                  <c:v>W385</c:v>
                </c:pt>
                <c:pt idx="386">
                  <c:v>W386</c:v>
                </c:pt>
                <c:pt idx="387">
                  <c:v>W387</c:v>
                </c:pt>
                <c:pt idx="388">
                  <c:v>W388</c:v>
                </c:pt>
                <c:pt idx="389">
                  <c:v>W389</c:v>
                </c:pt>
                <c:pt idx="390">
                  <c:v>W390</c:v>
                </c:pt>
                <c:pt idx="391">
                  <c:v>W391</c:v>
                </c:pt>
                <c:pt idx="392">
                  <c:v>W392</c:v>
                </c:pt>
                <c:pt idx="393">
                  <c:v>W393</c:v>
                </c:pt>
                <c:pt idx="394">
                  <c:v>W394</c:v>
                </c:pt>
                <c:pt idx="395">
                  <c:v>W395</c:v>
                </c:pt>
                <c:pt idx="396">
                  <c:v>W396</c:v>
                </c:pt>
                <c:pt idx="397">
                  <c:v>W397</c:v>
                </c:pt>
                <c:pt idx="398">
                  <c:v>W398</c:v>
                </c:pt>
                <c:pt idx="399">
                  <c:v>W399</c:v>
                </c:pt>
                <c:pt idx="400">
                  <c:v>W400</c:v>
                </c:pt>
                <c:pt idx="401">
                  <c:v>W401</c:v>
                </c:pt>
                <c:pt idx="402">
                  <c:v>W402</c:v>
                </c:pt>
                <c:pt idx="403">
                  <c:v>W403</c:v>
                </c:pt>
                <c:pt idx="404">
                  <c:v>W404</c:v>
                </c:pt>
                <c:pt idx="405">
                  <c:v>W405</c:v>
                </c:pt>
                <c:pt idx="406">
                  <c:v>W406</c:v>
                </c:pt>
                <c:pt idx="407">
                  <c:v>W407</c:v>
                </c:pt>
                <c:pt idx="408">
                  <c:v>W408</c:v>
                </c:pt>
                <c:pt idx="409">
                  <c:v>W409</c:v>
                </c:pt>
                <c:pt idx="410">
                  <c:v>W410</c:v>
                </c:pt>
                <c:pt idx="411">
                  <c:v>W411</c:v>
                </c:pt>
                <c:pt idx="412">
                  <c:v>W412</c:v>
                </c:pt>
                <c:pt idx="413">
                  <c:v>W413</c:v>
                </c:pt>
                <c:pt idx="414">
                  <c:v>W414</c:v>
                </c:pt>
                <c:pt idx="415">
                  <c:v>W415</c:v>
                </c:pt>
                <c:pt idx="416">
                  <c:v>W416</c:v>
                </c:pt>
                <c:pt idx="417">
                  <c:v>W417</c:v>
                </c:pt>
                <c:pt idx="418">
                  <c:v>W418</c:v>
                </c:pt>
                <c:pt idx="419">
                  <c:v>W419</c:v>
                </c:pt>
                <c:pt idx="420">
                  <c:v>W420</c:v>
                </c:pt>
                <c:pt idx="421">
                  <c:v>W421</c:v>
                </c:pt>
                <c:pt idx="422">
                  <c:v>W422</c:v>
                </c:pt>
                <c:pt idx="423">
                  <c:v>W423</c:v>
                </c:pt>
                <c:pt idx="424">
                  <c:v>W424</c:v>
                </c:pt>
                <c:pt idx="425">
                  <c:v>W425</c:v>
                </c:pt>
                <c:pt idx="426">
                  <c:v>W426</c:v>
                </c:pt>
                <c:pt idx="427">
                  <c:v>W427</c:v>
                </c:pt>
                <c:pt idx="428">
                  <c:v>W428</c:v>
                </c:pt>
                <c:pt idx="429">
                  <c:v>W429</c:v>
                </c:pt>
                <c:pt idx="430">
                  <c:v>W430</c:v>
                </c:pt>
                <c:pt idx="431">
                  <c:v>W431</c:v>
                </c:pt>
                <c:pt idx="432">
                  <c:v>W432</c:v>
                </c:pt>
                <c:pt idx="433">
                  <c:v>W433</c:v>
                </c:pt>
                <c:pt idx="434">
                  <c:v>W434</c:v>
                </c:pt>
                <c:pt idx="435">
                  <c:v>W435</c:v>
                </c:pt>
                <c:pt idx="436">
                  <c:v>W436</c:v>
                </c:pt>
                <c:pt idx="437">
                  <c:v>W437</c:v>
                </c:pt>
                <c:pt idx="438">
                  <c:v>W438</c:v>
                </c:pt>
                <c:pt idx="439">
                  <c:v>W439</c:v>
                </c:pt>
                <c:pt idx="440">
                  <c:v>W440</c:v>
                </c:pt>
                <c:pt idx="441">
                  <c:v>W441</c:v>
                </c:pt>
                <c:pt idx="442">
                  <c:v>W442</c:v>
                </c:pt>
                <c:pt idx="443">
                  <c:v>W443</c:v>
                </c:pt>
                <c:pt idx="444">
                  <c:v>W444</c:v>
                </c:pt>
                <c:pt idx="445">
                  <c:v>W445</c:v>
                </c:pt>
                <c:pt idx="446">
                  <c:v>W446</c:v>
                </c:pt>
                <c:pt idx="447">
                  <c:v>W447</c:v>
                </c:pt>
                <c:pt idx="448">
                  <c:v>W448</c:v>
                </c:pt>
                <c:pt idx="449">
                  <c:v>W449</c:v>
                </c:pt>
                <c:pt idx="450">
                  <c:v>W450</c:v>
                </c:pt>
                <c:pt idx="451">
                  <c:v>W451</c:v>
                </c:pt>
                <c:pt idx="452">
                  <c:v>W452</c:v>
                </c:pt>
                <c:pt idx="453">
                  <c:v>W453</c:v>
                </c:pt>
                <c:pt idx="454">
                  <c:v>W454</c:v>
                </c:pt>
                <c:pt idx="455">
                  <c:v>W455</c:v>
                </c:pt>
                <c:pt idx="456">
                  <c:v>W456</c:v>
                </c:pt>
                <c:pt idx="457">
                  <c:v>W457</c:v>
                </c:pt>
                <c:pt idx="458">
                  <c:v>W458</c:v>
                </c:pt>
                <c:pt idx="459">
                  <c:v>W459</c:v>
                </c:pt>
                <c:pt idx="460">
                  <c:v>W460</c:v>
                </c:pt>
                <c:pt idx="461">
                  <c:v>W461</c:v>
                </c:pt>
                <c:pt idx="462">
                  <c:v>W462</c:v>
                </c:pt>
                <c:pt idx="463">
                  <c:v>W463</c:v>
                </c:pt>
                <c:pt idx="464">
                  <c:v>W464</c:v>
                </c:pt>
                <c:pt idx="465">
                  <c:v>W465</c:v>
                </c:pt>
                <c:pt idx="466">
                  <c:v>W466</c:v>
                </c:pt>
                <c:pt idx="467">
                  <c:v>W467</c:v>
                </c:pt>
                <c:pt idx="468">
                  <c:v>W468</c:v>
                </c:pt>
                <c:pt idx="469">
                  <c:v>W469</c:v>
                </c:pt>
                <c:pt idx="470">
                  <c:v>W470</c:v>
                </c:pt>
                <c:pt idx="471">
                  <c:v>W471</c:v>
                </c:pt>
                <c:pt idx="472">
                  <c:v>W472</c:v>
                </c:pt>
                <c:pt idx="473">
                  <c:v>W473</c:v>
                </c:pt>
                <c:pt idx="474">
                  <c:v>W474</c:v>
                </c:pt>
                <c:pt idx="475">
                  <c:v>W475</c:v>
                </c:pt>
                <c:pt idx="476">
                  <c:v>W476</c:v>
                </c:pt>
                <c:pt idx="477">
                  <c:v>W477</c:v>
                </c:pt>
                <c:pt idx="478">
                  <c:v>W478</c:v>
                </c:pt>
                <c:pt idx="479">
                  <c:v>W479</c:v>
                </c:pt>
                <c:pt idx="480">
                  <c:v>W480</c:v>
                </c:pt>
                <c:pt idx="481">
                  <c:v>W481</c:v>
                </c:pt>
                <c:pt idx="482">
                  <c:v>W482</c:v>
                </c:pt>
                <c:pt idx="483">
                  <c:v>W483</c:v>
                </c:pt>
                <c:pt idx="484">
                  <c:v>W484</c:v>
                </c:pt>
                <c:pt idx="485">
                  <c:v>W485</c:v>
                </c:pt>
                <c:pt idx="486">
                  <c:v>W486</c:v>
                </c:pt>
                <c:pt idx="487">
                  <c:v>W487</c:v>
                </c:pt>
                <c:pt idx="488">
                  <c:v>W488</c:v>
                </c:pt>
                <c:pt idx="489">
                  <c:v>W489</c:v>
                </c:pt>
                <c:pt idx="490">
                  <c:v>W490</c:v>
                </c:pt>
                <c:pt idx="491">
                  <c:v>W491</c:v>
                </c:pt>
                <c:pt idx="492">
                  <c:v>W492</c:v>
                </c:pt>
                <c:pt idx="493">
                  <c:v>W493</c:v>
                </c:pt>
                <c:pt idx="494">
                  <c:v>W494</c:v>
                </c:pt>
                <c:pt idx="495">
                  <c:v>W495</c:v>
                </c:pt>
                <c:pt idx="496">
                  <c:v>W496</c:v>
                </c:pt>
                <c:pt idx="497">
                  <c:v>W497</c:v>
                </c:pt>
                <c:pt idx="498">
                  <c:v>W498</c:v>
                </c:pt>
                <c:pt idx="499">
                  <c:v>W499</c:v>
                </c:pt>
                <c:pt idx="500">
                  <c:v>W500</c:v>
                </c:pt>
                <c:pt idx="501">
                  <c:v>W501</c:v>
                </c:pt>
                <c:pt idx="502">
                  <c:v>W502</c:v>
                </c:pt>
                <c:pt idx="503">
                  <c:v>W503</c:v>
                </c:pt>
                <c:pt idx="504">
                  <c:v>W504</c:v>
                </c:pt>
                <c:pt idx="505">
                  <c:v>W505</c:v>
                </c:pt>
                <c:pt idx="506">
                  <c:v>W506</c:v>
                </c:pt>
                <c:pt idx="507">
                  <c:v>W507</c:v>
                </c:pt>
                <c:pt idx="508">
                  <c:v>W508</c:v>
                </c:pt>
                <c:pt idx="509">
                  <c:v>W509</c:v>
                </c:pt>
                <c:pt idx="510">
                  <c:v>W510</c:v>
                </c:pt>
                <c:pt idx="511">
                  <c:v>W511</c:v>
                </c:pt>
                <c:pt idx="512">
                  <c:v>W512</c:v>
                </c:pt>
                <c:pt idx="513">
                  <c:v>W513</c:v>
                </c:pt>
                <c:pt idx="514">
                  <c:v>W514</c:v>
                </c:pt>
                <c:pt idx="515">
                  <c:v>W515</c:v>
                </c:pt>
                <c:pt idx="516">
                  <c:v>W516</c:v>
                </c:pt>
                <c:pt idx="517">
                  <c:v>W517</c:v>
                </c:pt>
                <c:pt idx="518">
                  <c:v>W518</c:v>
                </c:pt>
                <c:pt idx="519">
                  <c:v>W519</c:v>
                </c:pt>
                <c:pt idx="520">
                  <c:v>W520</c:v>
                </c:pt>
                <c:pt idx="521">
                  <c:v>W521</c:v>
                </c:pt>
                <c:pt idx="522">
                  <c:v>W522</c:v>
                </c:pt>
                <c:pt idx="523">
                  <c:v>W523</c:v>
                </c:pt>
                <c:pt idx="524">
                  <c:v>W524</c:v>
                </c:pt>
                <c:pt idx="525">
                  <c:v>W525</c:v>
                </c:pt>
                <c:pt idx="526">
                  <c:v>W526</c:v>
                </c:pt>
                <c:pt idx="527">
                  <c:v>W527</c:v>
                </c:pt>
                <c:pt idx="528">
                  <c:v>W528</c:v>
                </c:pt>
                <c:pt idx="529">
                  <c:v>W529</c:v>
                </c:pt>
                <c:pt idx="530">
                  <c:v>W530</c:v>
                </c:pt>
                <c:pt idx="531">
                  <c:v>W531</c:v>
                </c:pt>
                <c:pt idx="532">
                  <c:v>W532</c:v>
                </c:pt>
                <c:pt idx="533">
                  <c:v>W533</c:v>
                </c:pt>
                <c:pt idx="534">
                  <c:v>W534</c:v>
                </c:pt>
                <c:pt idx="535">
                  <c:v>W535</c:v>
                </c:pt>
                <c:pt idx="536">
                  <c:v>W536</c:v>
                </c:pt>
                <c:pt idx="537">
                  <c:v>W537</c:v>
                </c:pt>
                <c:pt idx="538">
                  <c:v>W538</c:v>
                </c:pt>
                <c:pt idx="539">
                  <c:v>W539</c:v>
                </c:pt>
                <c:pt idx="540">
                  <c:v>W540</c:v>
                </c:pt>
                <c:pt idx="541">
                  <c:v>W541</c:v>
                </c:pt>
                <c:pt idx="542">
                  <c:v>W542</c:v>
                </c:pt>
                <c:pt idx="543">
                  <c:v>W543</c:v>
                </c:pt>
                <c:pt idx="544">
                  <c:v>W544</c:v>
                </c:pt>
                <c:pt idx="545">
                  <c:v>W545</c:v>
                </c:pt>
                <c:pt idx="546">
                  <c:v>W546</c:v>
                </c:pt>
                <c:pt idx="547">
                  <c:v>W547</c:v>
                </c:pt>
                <c:pt idx="548">
                  <c:v>W548</c:v>
                </c:pt>
                <c:pt idx="549">
                  <c:v>W549</c:v>
                </c:pt>
                <c:pt idx="550">
                  <c:v>W550</c:v>
                </c:pt>
                <c:pt idx="551">
                  <c:v>W551</c:v>
                </c:pt>
                <c:pt idx="552">
                  <c:v>W552</c:v>
                </c:pt>
                <c:pt idx="553">
                  <c:v>W553</c:v>
                </c:pt>
                <c:pt idx="554">
                  <c:v>W554</c:v>
                </c:pt>
                <c:pt idx="555">
                  <c:v>W555</c:v>
                </c:pt>
                <c:pt idx="556">
                  <c:v>W556</c:v>
                </c:pt>
                <c:pt idx="557">
                  <c:v>W557</c:v>
                </c:pt>
                <c:pt idx="558">
                  <c:v>W558</c:v>
                </c:pt>
                <c:pt idx="559">
                  <c:v>W559</c:v>
                </c:pt>
                <c:pt idx="560">
                  <c:v>W560</c:v>
                </c:pt>
                <c:pt idx="561">
                  <c:v>W561</c:v>
                </c:pt>
                <c:pt idx="562">
                  <c:v>W562</c:v>
                </c:pt>
                <c:pt idx="563">
                  <c:v>W563</c:v>
                </c:pt>
                <c:pt idx="564">
                  <c:v>W564</c:v>
                </c:pt>
                <c:pt idx="565">
                  <c:v>W565</c:v>
                </c:pt>
                <c:pt idx="566">
                  <c:v>W566</c:v>
                </c:pt>
                <c:pt idx="567">
                  <c:v>W567</c:v>
                </c:pt>
                <c:pt idx="568">
                  <c:v>W568</c:v>
                </c:pt>
                <c:pt idx="569">
                  <c:v>W569</c:v>
                </c:pt>
                <c:pt idx="570">
                  <c:v>W570</c:v>
                </c:pt>
                <c:pt idx="571">
                  <c:v>W571</c:v>
                </c:pt>
                <c:pt idx="572">
                  <c:v>W572</c:v>
                </c:pt>
                <c:pt idx="573">
                  <c:v>W573</c:v>
                </c:pt>
                <c:pt idx="574">
                  <c:v>W574</c:v>
                </c:pt>
                <c:pt idx="575">
                  <c:v>W575</c:v>
                </c:pt>
                <c:pt idx="576">
                  <c:v>W576</c:v>
                </c:pt>
                <c:pt idx="577">
                  <c:v>W577</c:v>
                </c:pt>
                <c:pt idx="578">
                  <c:v>W578</c:v>
                </c:pt>
                <c:pt idx="579">
                  <c:v>W579</c:v>
                </c:pt>
                <c:pt idx="580">
                  <c:v>W580</c:v>
                </c:pt>
                <c:pt idx="581">
                  <c:v>W581</c:v>
                </c:pt>
                <c:pt idx="582">
                  <c:v>W582</c:v>
                </c:pt>
                <c:pt idx="583">
                  <c:v>W583</c:v>
                </c:pt>
                <c:pt idx="584">
                  <c:v>W584</c:v>
                </c:pt>
                <c:pt idx="585">
                  <c:v>W585</c:v>
                </c:pt>
                <c:pt idx="586">
                  <c:v>W586</c:v>
                </c:pt>
                <c:pt idx="587">
                  <c:v>W587</c:v>
                </c:pt>
                <c:pt idx="588">
                  <c:v>W588</c:v>
                </c:pt>
                <c:pt idx="589">
                  <c:v>W589</c:v>
                </c:pt>
                <c:pt idx="590">
                  <c:v>W590</c:v>
                </c:pt>
                <c:pt idx="591">
                  <c:v>W591</c:v>
                </c:pt>
                <c:pt idx="592">
                  <c:v>W592</c:v>
                </c:pt>
                <c:pt idx="593">
                  <c:v>W593</c:v>
                </c:pt>
                <c:pt idx="594">
                  <c:v>W594</c:v>
                </c:pt>
                <c:pt idx="595">
                  <c:v>W595</c:v>
                </c:pt>
                <c:pt idx="596">
                  <c:v>W596</c:v>
                </c:pt>
                <c:pt idx="597">
                  <c:v>W597</c:v>
                </c:pt>
                <c:pt idx="598">
                  <c:v>W598</c:v>
                </c:pt>
                <c:pt idx="599">
                  <c:v>W599</c:v>
                </c:pt>
                <c:pt idx="600">
                  <c:v>W600</c:v>
                </c:pt>
                <c:pt idx="601">
                  <c:v>W601</c:v>
                </c:pt>
                <c:pt idx="602">
                  <c:v>W602</c:v>
                </c:pt>
                <c:pt idx="603">
                  <c:v>W603</c:v>
                </c:pt>
                <c:pt idx="604">
                  <c:v>W604</c:v>
                </c:pt>
                <c:pt idx="605">
                  <c:v>W605</c:v>
                </c:pt>
                <c:pt idx="606">
                  <c:v>W606</c:v>
                </c:pt>
                <c:pt idx="607">
                  <c:v>W607</c:v>
                </c:pt>
                <c:pt idx="608">
                  <c:v>W608</c:v>
                </c:pt>
                <c:pt idx="609">
                  <c:v>W609</c:v>
                </c:pt>
                <c:pt idx="610">
                  <c:v>W610</c:v>
                </c:pt>
                <c:pt idx="611">
                  <c:v>W611</c:v>
                </c:pt>
                <c:pt idx="612">
                  <c:v>W612</c:v>
                </c:pt>
                <c:pt idx="613">
                  <c:v>W613</c:v>
                </c:pt>
                <c:pt idx="614">
                  <c:v>W614</c:v>
                </c:pt>
                <c:pt idx="615">
                  <c:v>W615</c:v>
                </c:pt>
                <c:pt idx="616">
                  <c:v>W616</c:v>
                </c:pt>
                <c:pt idx="617">
                  <c:v>W617</c:v>
                </c:pt>
                <c:pt idx="618">
                  <c:v>W618</c:v>
                </c:pt>
                <c:pt idx="619">
                  <c:v>W619</c:v>
                </c:pt>
                <c:pt idx="620">
                  <c:v>W620</c:v>
                </c:pt>
                <c:pt idx="621">
                  <c:v>W621</c:v>
                </c:pt>
                <c:pt idx="622">
                  <c:v>W622</c:v>
                </c:pt>
                <c:pt idx="623">
                  <c:v>W623</c:v>
                </c:pt>
                <c:pt idx="624">
                  <c:v>W624</c:v>
                </c:pt>
                <c:pt idx="625">
                  <c:v>W625</c:v>
                </c:pt>
                <c:pt idx="626">
                  <c:v>W626</c:v>
                </c:pt>
                <c:pt idx="627">
                  <c:v>W627</c:v>
                </c:pt>
                <c:pt idx="628">
                  <c:v>W628</c:v>
                </c:pt>
                <c:pt idx="629">
                  <c:v>W629</c:v>
                </c:pt>
                <c:pt idx="630">
                  <c:v>W630</c:v>
                </c:pt>
                <c:pt idx="631">
                  <c:v>W631</c:v>
                </c:pt>
                <c:pt idx="632">
                  <c:v>W632</c:v>
                </c:pt>
                <c:pt idx="633">
                  <c:v>W633</c:v>
                </c:pt>
              </c:strCache>
            </c:strRef>
          </c:cat>
          <c:val>
            <c:numRef>
              <c:f>'Token Releasing Plan'!$C$17:$C$650</c:f>
              <c:numCache>
                <c:formatCode>_(* #,##0.00_);_(* \(#,##0.00\);_(* "-"??_);_(@_)</c:formatCode>
                <c:ptCount val="634"/>
                <c:pt idx="0">
                  <c:v>1000000</c:v>
                </c:pt>
                <c:pt idx="1">
                  <c:v>2000000</c:v>
                </c:pt>
                <c:pt idx="2">
                  <c:v>2000000</c:v>
                </c:pt>
                <c:pt idx="3">
                  <c:v>2000000</c:v>
                </c:pt>
                <c:pt idx="4">
                  <c:v>2000000</c:v>
                </c:pt>
                <c:pt idx="5">
                  <c:v>2000000</c:v>
                </c:pt>
                <c:pt idx="6">
                  <c:v>2000000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2000000</c:v>
                </c:pt>
                <c:pt idx="13">
                  <c:v>1920000</c:v>
                </c:pt>
                <c:pt idx="14">
                  <c:v>1920000</c:v>
                </c:pt>
                <c:pt idx="15">
                  <c:v>1920000</c:v>
                </c:pt>
                <c:pt idx="16">
                  <c:v>1920000</c:v>
                </c:pt>
                <c:pt idx="17">
                  <c:v>1920000</c:v>
                </c:pt>
                <c:pt idx="18">
                  <c:v>1920000</c:v>
                </c:pt>
                <c:pt idx="19">
                  <c:v>1920000</c:v>
                </c:pt>
                <c:pt idx="20">
                  <c:v>1920000</c:v>
                </c:pt>
                <c:pt idx="21">
                  <c:v>1920000</c:v>
                </c:pt>
                <c:pt idx="22">
                  <c:v>1920000</c:v>
                </c:pt>
                <c:pt idx="23">
                  <c:v>1920000</c:v>
                </c:pt>
                <c:pt idx="24">
                  <c:v>1920000</c:v>
                </c:pt>
                <c:pt idx="25">
                  <c:v>1843200</c:v>
                </c:pt>
                <c:pt idx="26">
                  <c:v>1843200</c:v>
                </c:pt>
                <c:pt idx="27">
                  <c:v>1843200</c:v>
                </c:pt>
                <c:pt idx="28">
                  <c:v>1843200</c:v>
                </c:pt>
                <c:pt idx="29">
                  <c:v>1843200</c:v>
                </c:pt>
                <c:pt idx="30">
                  <c:v>1843200</c:v>
                </c:pt>
                <c:pt idx="31">
                  <c:v>1843200</c:v>
                </c:pt>
                <c:pt idx="32">
                  <c:v>1843200</c:v>
                </c:pt>
                <c:pt idx="33">
                  <c:v>1843200</c:v>
                </c:pt>
                <c:pt idx="34">
                  <c:v>1843200</c:v>
                </c:pt>
                <c:pt idx="35">
                  <c:v>1843200</c:v>
                </c:pt>
                <c:pt idx="36">
                  <c:v>1843200</c:v>
                </c:pt>
                <c:pt idx="37">
                  <c:v>1769472</c:v>
                </c:pt>
                <c:pt idx="38">
                  <c:v>1769472</c:v>
                </c:pt>
                <c:pt idx="39">
                  <c:v>1769472</c:v>
                </c:pt>
                <c:pt idx="40">
                  <c:v>1769472</c:v>
                </c:pt>
                <c:pt idx="41">
                  <c:v>1769472</c:v>
                </c:pt>
                <c:pt idx="42">
                  <c:v>1769472</c:v>
                </c:pt>
                <c:pt idx="43">
                  <c:v>1769472</c:v>
                </c:pt>
                <c:pt idx="44">
                  <c:v>1769472</c:v>
                </c:pt>
                <c:pt idx="45">
                  <c:v>1769472</c:v>
                </c:pt>
                <c:pt idx="46">
                  <c:v>1769472</c:v>
                </c:pt>
                <c:pt idx="47">
                  <c:v>1769472</c:v>
                </c:pt>
                <c:pt idx="48">
                  <c:v>1769472</c:v>
                </c:pt>
                <c:pt idx="49">
                  <c:v>1698693.1199999999</c:v>
                </c:pt>
                <c:pt idx="50">
                  <c:v>1698693.1199999999</c:v>
                </c:pt>
                <c:pt idx="51">
                  <c:v>1358954.496</c:v>
                </c:pt>
                <c:pt idx="52">
                  <c:v>1358954.496</c:v>
                </c:pt>
                <c:pt idx="53">
                  <c:v>1358954.496</c:v>
                </c:pt>
                <c:pt idx="54">
                  <c:v>1358954.496</c:v>
                </c:pt>
                <c:pt idx="55">
                  <c:v>1358954.496</c:v>
                </c:pt>
                <c:pt idx="56">
                  <c:v>1358954.496</c:v>
                </c:pt>
                <c:pt idx="57">
                  <c:v>1358954.496</c:v>
                </c:pt>
                <c:pt idx="58">
                  <c:v>1358954.496</c:v>
                </c:pt>
                <c:pt idx="59">
                  <c:v>1358954.496</c:v>
                </c:pt>
                <c:pt idx="60">
                  <c:v>1358954.496</c:v>
                </c:pt>
                <c:pt idx="61">
                  <c:v>1304596.3161599999</c:v>
                </c:pt>
                <c:pt idx="62">
                  <c:v>1304596.3161599999</c:v>
                </c:pt>
                <c:pt idx="63">
                  <c:v>1304596.3161599999</c:v>
                </c:pt>
                <c:pt idx="64">
                  <c:v>1304596.3161599999</c:v>
                </c:pt>
                <c:pt idx="65">
                  <c:v>1304596.3161599999</c:v>
                </c:pt>
                <c:pt idx="66">
                  <c:v>1304596.3161599999</c:v>
                </c:pt>
                <c:pt idx="67">
                  <c:v>1304596.3161599999</c:v>
                </c:pt>
                <c:pt idx="68">
                  <c:v>1304596.3161599999</c:v>
                </c:pt>
                <c:pt idx="69">
                  <c:v>1304596.3161599999</c:v>
                </c:pt>
                <c:pt idx="70">
                  <c:v>1304596.3161599999</c:v>
                </c:pt>
                <c:pt idx="71">
                  <c:v>1304596.3161599999</c:v>
                </c:pt>
                <c:pt idx="72">
                  <c:v>1304596.3161599999</c:v>
                </c:pt>
                <c:pt idx="73">
                  <c:v>1252412.4635135999</c:v>
                </c:pt>
                <c:pt idx="74">
                  <c:v>1252412.4635135999</c:v>
                </c:pt>
                <c:pt idx="75">
                  <c:v>1252412.4635135999</c:v>
                </c:pt>
                <c:pt idx="76">
                  <c:v>1252412.4635135999</c:v>
                </c:pt>
                <c:pt idx="77">
                  <c:v>1252412.4635135999</c:v>
                </c:pt>
                <c:pt idx="78">
                  <c:v>1252412.4635135999</c:v>
                </c:pt>
                <c:pt idx="79">
                  <c:v>1252412.4635135999</c:v>
                </c:pt>
                <c:pt idx="80">
                  <c:v>1252412.4635135999</c:v>
                </c:pt>
                <c:pt idx="81">
                  <c:v>1252412.4635135999</c:v>
                </c:pt>
                <c:pt idx="82">
                  <c:v>1252412.4635135999</c:v>
                </c:pt>
                <c:pt idx="83">
                  <c:v>1252412.4635135999</c:v>
                </c:pt>
                <c:pt idx="84">
                  <c:v>1252412.4635135999</c:v>
                </c:pt>
                <c:pt idx="85">
                  <c:v>1202315.964973056</c:v>
                </c:pt>
                <c:pt idx="86">
                  <c:v>1202315.964973056</c:v>
                </c:pt>
                <c:pt idx="87">
                  <c:v>1202315.964973056</c:v>
                </c:pt>
                <c:pt idx="88">
                  <c:v>1202315.964973056</c:v>
                </c:pt>
                <c:pt idx="89">
                  <c:v>1202315.964973056</c:v>
                </c:pt>
                <c:pt idx="90">
                  <c:v>1202315.964973056</c:v>
                </c:pt>
                <c:pt idx="91">
                  <c:v>1202315.964973056</c:v>
                </c:pt>
                <c:pt idx="92">
                  <c:v>1202315.964973056</c:v>
                </c:pt>
                <c:pt idx="93">
                  <c:v>1202315.964973056</c:v>
                </c:pt>
                <c:pt idx="94">
                  <c:v>1202315.964973056</c:v>
                </c:pt>
                <c:pt idx="95">
                  <c:v>1202315.964973056</c:v>
                </c:pt>
                <c:pt idx="96">
                  <c:v>1202315.964973056</c:v>
                </c:pt>
                <c:pt idx="97">
                  <c:v>1154223.3263741338</c:v>
                </c:pt>
                <c:pt idx="98">
                  <c:v>1154223.3263741338</c:v>
                </c:pt>
                <c:pt idx="99">
                  <c:v>1154223.3263741338</c:v>
                </c:pt>
                <c:pt idx="100">
                  <c:v>1154223.3263741338</c:v>
                </c:pt>
                <c:pt idx="101">
                  <c:v>865667.49478060019</c:v>
                </c:pt>
                <c:pt idx="102">
                  <c:v>865667.49478060019</c:v>
                </c:pt>
                <c:pt idx="103">
                  <c:v>865667.49478060019</c:v>
                </c:pt>
                <c:pt idx="104">
                  <c:v>865667.49478060019</c:v>
                </c:pt>
                <c:pt idx="105">
                  <c:v>865667.49478060019</c:v>
                </c:pt>
                <c:pt idx="106">
                  <c:v>865667.49478060019</c:v>
                </c:pt>
                <c:pt idx="107">
                  <c:v>865667.49478060019</c:v>
                </c:pt>
                <c:pt idx="108">
                  <c:v>865667.49478060019</c:v>
                </c:pt>
                <c:pt idx="109">
                  <c:v>831040.79498937621</c:v>
                </c:pt>
                <c:pt idx="110">
                  <c:v>831040.79498937621</c:v>
                </c:pt>
                <c:pt idx="111">
                  <c:v>831040.79498937621</c:v>
                </c:pt>
                <c:pt idx="112">
                  <c:v>831040.79498937621</c:v>
                </c:pt>
                <c:pt idx="113">
                  <c:v>831040.79498937621</c:v>
                </c:pt>
                <c:pt idx="114">
                  <c:v>831040.79498937621</c:v>
                </c:pt>
                <c:pt idx="115">
                  <c:v>831040.79498937621</c:v>
                </c:pt>
                <c:pt idx="116">
                  <c:v>831040.79498937621</c:v>
                </c:pt>
                <c:pt idx="117">
                  <c:v>831040.79498937621</c:v>
                </c:pt>
                <c:pt idx="118">
                  <c:v>831040.79498937621</c:v>
                </c:pt>
                <c:pt idx="119">
                  <c:v>831040.79498937621</c:v>
                </c:pt>
                <c:pt idx="120">
                  <c:v>831040.79498937621</c:v>
                </c:pt>
                <c:pt idx="121">
                  <c:v>797799.16318980104</c:v>
                </c:pt>
                <c:pt idx="122">
                  <c:v>797799.16318980104</c:v>
                </c:pt>
                <c:pt idx="123">
                  <c:v>797799.16318980104</c:v>
                </c:pt>
                <c:pt idx="124">
                  <c:v>797799.16318980104</c:v>
                </c:pt>
                <c:pt idx="125">
                  <c:v>797799.16318980104</c:v>
                </c:pt>
                <c:pt idx="126">
                  <c:v>797799.16318980104</c:v>
                </c:pt>
                <c:pt idx="127">
                  <c:v>797799.16318980104</c:v>
                </c:pt>
                <c:pt idx="128">
                  <c:v>797799.16318980104</c:v>
                </c:pt>
                <c:pt idx="129">
                  <c:v>797799.16318980104</c:v>
                </c:pt>
                <c:pt idx="130">
                  <c:v>797799.16318980104</c:v>
                </c:pt>
                <c:pt idx="131">
                  <c:v>797799.16318980104</c:v>
                </c:pt>
                <c:pt idx="132">
                  <c:v>797799.16318980104</c:v>
                </c:pt>
                <c:pt idx="133">
                  <c:v>765887.196662209</c:v>
                </c:pt>
                <c:pt idx="134">
                  <c:v>765887.196662209</c:v>
                </c:pt>
                <c:pt idx="135">
                  <c:v>765887.196662209</c:v>
                </c:pt>
                <c:pt idx="136">
                  <c:v>765887.196662209</c:v>
                </c:pt>
                <c:pt idx="137">
                  <c:v>765887.196662209</c:v>
                </c:pt>
                <c:pt idx="138">
                  <c:v>765887.196662209</c:v>
                </c:pt>
                <c:pt idx="139">
                  <c:v>765887.196662209</c:v>
                </c:pt>
                <c:pt idx="140">
                  <c:v>765887.196662209</c:v>
                </c:pt>
                <c:pt idx="141">
                  <c:v>765887.196662209</c:v>
                </c:pt>
                <c:pt idx="142">
                  <c:v>765887.196662209</c:v>
                </c:pt>
                <c:pt idx="143">
                  <c:v>765887.196662209</c:v>
                </c:pt>
                <c:pt idx="144">
                  <c:v>765887.196662209</c:v>
                </c:pt>
                <c:pt idx="145">
                  <c:v>735251.70879572059</c:v>
                </c:pt>
                <c:pt idx="146">
                  <c:v>735251.70879572059</c:v>
                </c:pt>
                <c:pt idx="147">
                  <c:v>735251.70879572059</c:v>
                </c:pt>
                <c:pt idx="148">
                  <c:v>735251.70879572059</c:v>
                </c:pt>
                <c:pt idx="149">
                  <c:v>735251.70879572059</c:v>
                </c:pt>
                <c:pt idx="150">
                  <c:v>735251.70879572059</c:v>
                </c:pt>
                <c:pt idx="151">
                  <c:v>490167.80586381379</c:v>
                </c:pt>
                <c:pt idx="152">
                  <c:v>490167.80586381379</c:v>
                </c:pt>
                <c:pt idx="153">
                  <c:v>490167.80586381379</c:v>
                </c:pt>
                <c:pt idx="154">
                  <c:v>490167.80586381379</c:v>
                </c:pt>
                <c:pt idx="155">
                  <c:v>490167.80586381379</c:v>
                </c:pt>
                <c:pt idx="156">
                  <c:v>490167.80586381379</c:v>
                </c:pt>
                <c:pt idx="157">
                  <c:v>470561.09362926125</c:v>
                </c:pt>
                <c:pt idx="158">
                  <c:v>470561.09362926125</c:v>
                </c:pt>
                <c:pt idx="159">
                  <c:v>470561.09362926125</c:v>
                </c:pt>
                <c:pt idx="160">
                  <c:v>470561.09362926125</c:v>
                </c:pt>
                <c:pt idx="161">
                  <c:v>470561.09362926125</c:v>
                </c:pt>
                <c:pt idx="162">
                  <c:v>470561.09362926125</c:v>
                </c:pt>
                <c:pt idx="163">
                  <c:v>470561.09362926125</c:v>
                </c:pt>
                <c:pt idx="164">
                  <c:v>470561.09362926125</c:v>
                </c:pt>
                <c:pt idx="165">
                  <c:v>470561.09362926125</c:v>
                </c:pt>
                <c:pt idx="166">
                  <c:v>470561.09362926125</c:v>
                </c:pt>
                <c:pt idx="167">
                  <c:v>470561.09362926125</c:v>
                </c:pt>
                <c:pt idx="168">
                  <c:v>470561.09362926125</c:v>
                </c:pt>
                <c:pt idx="169">
                  <c:v>451738.64988409076</c:v>
                </c:pt>
                <c:pt idx="170">
                  <c:v>451738.64988409076</c:v>
                </c:pt>
                <c:pt idx="171">
                  <c:v>451738.64988409076</c:v>
                </c:pt>
                <c:pt idx="172">
                  <c:v>451738.64988409076</c:v>
                </c:pt>
                <c:pt idx="173">
                  <c:v>451738.64988409076</c:v>
                </c:pt>
                <c:pt idx="174">
                  <c:v>451738.64988409076</c:v>
                </c:pt>
                <c:pt idx="175">
                  <c:v>451738.64988409076</c:v>
                </c:pt>
                <c:pt idx="176">
                  <c:v>451738.64988409076</c:v>
                </c:pt>
                <c:pt idx="177">
                  <c:v>451738.64988409076</c:v>
                </c:pt>
                <c:pt idx="178">
                  <c:v>451738.64988409076</c:v>
                </c:pt>
                <c:pt idx="179">
                  <c:v>451738.64988409076</c:v>
                </c:pt>
                <c:pt idx="180">
                  <c:v>451738.64988409076</c:v>
                </c:pt>
                <c:pt idx="181">
                  <c:v>433669.10388872708</c:v>
                </c:pt>
                <c:pt idx="182">
                  <c:v>433669.10388872708</c:v>
                </c:pt>
                <c:pt idx="183">
                  <c:v>433669.10388872708</c:v>
                </c:pt>
                <c:pt idx="184">
                  <c:v>433669.10388872708</c:v>
                </c:pt>
                <c:pt idx="185">
                  <c:v>433669.10388872708</c:v>
                </c:pt>
                <c:pt idx="186">
                  <c:v>433669.10388872708</c:v>
                </c:pt>
                <c:pt idx="187">
                  <c:v>433669.10388872708</c:v>
                </c:pt>
                <c:pt idx="188">
                  <c:v>433669.10388872708</c:v>
                </c:pt>
                <c:pt idx="189">
                  <c:v>433669.10388872708</c:v>
                </c:pt>
                <c:pt idx="190">
                  <c:v>433669.10388872708</c:v>
                </c:pt>
                <c:pt idx="191">
                  <c:v>433669.10388872708</c:v>
                </c:pt>
                <c:pt idx="192">
                  <c:v>433669.10388872708</c:v>
                </c:pt>
                <c:pt idx="193">
                  <c:v>416322.33973317803</c:v>
                </c:pt>
                <c:pt idx="194">
                  <c:v>416322.33973317803</c:v>
                </c:pt>
                <c:pt idx="195">
                  <c:v>416322.33973317803</c:v>
                </c:pt>
                <c:pt idx="196">
                  <c:v>416322.33973317803</c:v>
                </c:pt>
                <c:pt idx="197">
                  <c:v>416322.33973317803</c:v>
                </c:pt>
                <c:pt idx="198">
                  <c:v>416322.33973317803</c:v>
                </c:pt>
                <c:pt idx="199">
                  <c:v>416322.33973317803</c:v>
                </c:pt>
                <c:pt idx="200">
                  <c:v>416322.33973317803</c:v>
                </c:pt>
                <c:pt idx="201">
                  <c:v>208161.16986658901</c:v>
                </c:pt>
                <c:pt idx="202">
                  <c:v>208161.16986658901</c:v>
                </c:pt>
                <c:pt idx="203">
                  <c:v>208161.16986658901</c:v>
                </c:pt>
                <c:pt idx="204">
                  <c:v>208161.16986658901</c:v>
                </c:pt>
                <c:pt idx="205">
                  <c:v>199834.72307192546</c:v>
                </c:pt>
                <c:pt idx="206">
                  <c:v>199834.72307192546</c:v>
                </c:pt>
                <c:pt idx="207">
                  <c:v>199834.72307192546</c:v>
                </c:pt>
                <c:pt idx="208">
                  <c:v>199834.72307192546</c:v>
                </c:pt>
                <c:pt idx="209">
                  <c:v>199834.72307192546</c:v>
                </c:pt>
                <c:pt idx="210">
                  <c:v>199834.72307192546</c:v>
                </c:pt>
                <c:pt idx="211">
                  <c:v>199834.72307192546</c:v>
                </c:pt>
                <c:pt idx="212">
                  <c:v>199834.72307192546</c:v>
                </c:pt>
                <c:pt idx="213">
                  <c:v>199834.72307192546</c:v>
                </c:pt>
                <c:pt idx="214">
                  <c:v>199834.72307192546</c:v>
                </c:pt>
                <c:pt idx="215">
                  <c:v>199834.72307192546</c:v>
                </c:pt>
                <c:pt idx="216">
                  <c:v>199834.72307192546</c:v>
                </c:pt>
                <c:pt idx="217">
                  <c:v>191841.33414904843</c:v>
                </c:pt>
                <c:pt idx="218">
                  <c:v>191841.33414904843</c:v>
                </c:pt>
                <c:pt idx="219">
                  <c:v>191841.33414904843</c:v>
                </c:pt>
                <c:pt idx="220">
                  <c:v>191841.33414904843</c:v>
                </c:pt>
                <c:pt idx="221">
                  <c:v>191841.33414904843</c:v>
                </c:pt>
                <c:pt idx="222">
                  <c:v>191841.33414904843</c:v>
                </c:pt>
                <c:pt idx="223">
                  <c:v>191841.33414904843</c:v>
                </c:pt>
                <c:pt idx="224">
                  <c:v>191841.33414904843</c:v>
                </c:pt>
                <c:pt idx="225">
                  <c:v>191841.33414904843</c:v>
                </c:pt>
                <c:pt idx="226">
                  <c:v>191841.33414904843</c:v>
                </c:pt>
                <c:pt idx="227">
                  <c:v>191841.33414904843</c:v>
                </c:pt>
                <c:pt idx="228">
                  <c:v>191841.33414904843</c:v>
                </c:pt>
                <c:pt idx="229">
                  <c:v>184167.68078308646</c:v>
                </c:pt>
                <c:pt idx="230">
                  <c:v>184167.68078308646</c:v>
                </c:pt>
                <c:pt idx="231">
                  <c:v>184167.68078308646</c:v>
                </c:pt>
                <c:pt idx="232">
                  <c:v>184167.68078308646</c:v>
                </c:pt>
                <c:pt idx="233">
                  <c:v>184167.68078308646</c:v>
                </c:pt>
                <c:pt idx="234">
                  <c:v>184167.68078308646</c:v>
                </c:pt>
                <c:pt idx="235">
                  <c:v>184167.68078308646</c:v>
                </c:pt>
                <c:pt idx="236">
                  <c:v>184167.68078308646</c:v>
                </c:pt>
                <c:pt idx="237">
                  <c:v>184167.68078308646</c:v>
                </c:pt>
                <c:pt idx="238">
                  <c:v>184167.68078308646</c:v>
                </c:pt>
                <c:pt idx="239">
                  <c:v>184167.68078308646</c:v>
                </c:pt>
                <c:pt idx="240">
                  <c:v>184167.68078308646</c:v>
                </c:pt>
                <c:pt idx="241">
                  <c:v>176800.97355176299</c:v>
                </c:pt>
                <c:pt idx="242">
                  <c:v>176800.97355176299</c:v>
                </c:pt>
                <c:pt idx="243">
                  <c:v>176800.97355176299</c:v>
                </c:pt>
                <c:pt idx="244">
                  <c:v>176800.97355176299</c:v>
                </c:pt>
                <c:pt idx="245">
                  <c:v>176800.97355176299</c:v>
                </c:pt>
                <c:pt idx="246">
                  <c:v>176800.97355176299</c:v>
                </c:pt>
                <c:pt idx="247">
                  <c:v>176800.97355176299</c:v>
                </c:pt>
                <c:pt idx="248">
                  <c:v>176800.97355176299</c:v>
                </c:pt>
                <c:pt idx="249">
                  <c:v>176800.97355176299</c:v>
                </c:pt>
                <c:pt idx="250">
                  <c:v>176800.97355176299</c:v>
                </c:pt>
                <c:pt idx="251">
                  <c:v>176800.97355176299</c:v>
                </c:pt>
                <c:pt idx="252">
                  <c:v>176800.97355176299</c:v>
                </c:pt>
                <c:pt idx="253">
                  <c:v>169728.93460969249</c:v>
                </c:pt>
                <c:pt idx="254">
                  <c:v>169728.93460969249</c:v>
                </c:pt>
                <c:pt idx="255">
                  <c:v>169728.93460969249</c:v>
                </c:pt>
                <c:pt idx="256">
                  <c:v>169728.93460969249</c:v>
                </c:pt>
                <c:pt idx="257">
                  <c:v>169728.93460969249</c:v>
                </c:pt>
                <c:pt idx="258">
                  <c:v>169728.93460969249</c:v>
                </c:pt>
                <c:pt idx="259">
                  <c:v>169728.93460969249</c:v>
                </c:pt>
                <c:pt idx="260">
                  <c:v>169728.93460969249</c:v>
                </c:pt>
                <c:pt idx="261">
                  <c:v>169728.93460969249</c:v>
                </c:pt>
                <c:pt idx="262">
                  <c:v>169728.93460969249</c:v>
                </c:pt>
                <c:pt idx="263">
                  <c:v>169728.93460969249</c:v>
                </c:pt>
                <c:pt idx="264">
                  <c:v>169728.93460969249</c:v>
                </c:pt>
                <c:pt idx="265">
                  <c:v>162939.77722530477</c:v>
                </c:pt>
                <c:pt idx="266">
                  <c:v>162939.77722530477</c:v>
                </c:pt>
                <c:pt idx="267">
                  <c:v>162939.77722530477</c:v>
                </c:pt>
                <c:pt idx="268">
                  <c:v>162939.77722530477</c:v>
                </c:pt>
                <c:pt idx="269">
                  <c:v>162939.77722530477</c:v>
                </c:pt>
                <c:pt idx="270">
                  <c:v>162939.77722530477</c:v>
                </c:pt>
                <c:pt idx="271">
                  <c:v>162939.77722530477</c:v>
                </c:pt>
                <c:pt idx="272">
                  <c:v>162939.77722530477</c:v>
                </c:pt>
                <c:pt idx="273">
                  <c:v>162939.77722530477</c:v>
                </c:pt>
                <c:pt idx="274">
                  <c:v>162939.77722530477</c:v>
                </c:pt>
                <c:pt idx="275">
                  <c:v>162939.77722530477</c:v>
                </c:pt>
                <c:pt idx="276">
                  <c:v>162939.77722530477</c:v>
                </c:pt>
                <c:pt idx="277">
                  <c:v>156422.18613629258</c:v>
                </c:pt>
                <c:pt idx="278">
                  <c:v>156422.18613629258</c:v>
                </c:pt>
                <c:pt idx="279">
                  <c:v>156422.18613629258</c:v>
                </c:pt>
                <c:pt idx="280">
                  <c:v>156422.18613629258</c:v>
                </c:pt>
                <c:pt idx="281">
                  <c:v>156422.18613629258</c:v>
                </c:pt>
                <c:pt idx="282">
                  <c:v>156422.18613629258</c:v>
                </c:pt>
                <c:pt idx="283">
                  <c:v>156422.18613629258</c:v>
                </c:pt>
                <c:pt idx="284">
                  <c:v>156422.18613629258</c:v>
                </c:pt>
                <c:pt idx="285">
                  <c:v>156422.18613629258</c:v>
                </c:pt>
                <c:pt idx="286">
                  <c:v>156422.18613629258</c:v>
                </c:pt>
                <c:pt idx="287">
                  <c:v>156422.18613629258</c:v>
                </c:pt>
                <c:pt idx="288">
                  <c:v>156422.18613629258</c:v>
                </c:pt>
                <c:pt idx="289">
                  <c:v>150165.29869084086</c:v>
                </c:pt>
                <c:pt idx="290">
                  <c:v>150165.29869084086</c:v>
                </c:pt>
                <c:pt idx="291">
                  <c:v>150165.29869084086</c:v>
                </c:pt>
                <c:pt idx="292">
                  <c:v>150165.29869084086</c:v>
                </c:pt>
                <c:pt idx="293">
                  <c:v>150165.29869084086</c:v>
                </c:pt>
                <c:pt idx="294">
                  <c:v>150165.29869084086</c:v>
                </c:pt>
                <c:pt idx="295">
                  <c:v>150165.29869084086</c:v>
                </c:pt>
                <c:pt idx="296">
                  <c:v>150165.29869084086</c:v>
                </c:pt>
                <c:pt idx="297">
                  <c:v>150165.29869084086</c:v>
                </c:pt>
                <c:pt idx="298">
                  <c:v>150165.29869084086</c:v>
                </c:pt>
                <c:pt idx="299">
                  <c:v>150165.29869084086</c:v>
                </c:pt>
                <c:pt idx="300">
                  <c:v>150165.29869084086</c:v>
                </c:pt>
                <c:pt idx="301">
                  <c:v>144158.68674320725</c:v>
                </c:pt>
                <c:pt idx="302">
                  <c:v>144158.68674320725</c:v>
                </c:pt>
                <c:pt idx="303">
                  <c:v>144158.68674320725</c:v>
                </c:pt>
                <c:pt idx="304">
                  <c:v>144158.68674320725</c:v>
                </c:pt>
                <c:pt idx="305">
                  <c:v>144158.68674320725</c:v>
                </c:pt>
                <c:pt idx="306">
                  <c:v>144158.68674320725</c:v>
                </c:pt>
                <c:pt idx="307">
                  <c:v>144158.68674320725</c:v>
                </c:pt>
                <c:pt idx="308">
                  <c:v>144158.68674320725</c:v>
                </c:pt>
                <c:pt idx="309">
                  <c:v>144158.68674320725</c:v>
                </c:pt>
                <c:pt idx="310">
                  <c:v>144158.68674320725</c:v>
                </c:pt>
                <c:pt idx="311">
                  <c:v>144158.68674320725</c:v>
                </c:pt>
                <c:pt idx="312">
                  <c:v>144158.68674320725</c:v>
                </c:pt>
                <c:pt idx="313">
                  <c:v>138392.33927347892</c:v>
                </c:pt>
                <c:pt idx="314">
                  <c:v>138392.33927347892</c:v>
                </c:pt>
                <c:pt idx="315">
                  <c:v>138392.33927347892</c:v>
                </c:pt>
                <c:pt idx="316">
                  <c:v>138392.33927347892</c:v>
                </c:pt>
                <c:pt idx="317">
                  <c:v>138392.33927347892</c:v>
                </c:pt>
                <c:pt idx="318">
                  <c:v>138392.33927347892</c:v>
                </c:pt>
                <c:pt idx="319">
                  <c:v>138392.33927347892</c:v>
                </c:pt>
                <c:pt idx="320">
                  <c:v>138392.33927347892</c:v>
                </c:pt>
                <c:pt idx="321">
                  <c:v>138392.33927347892</c:v>
                </c:pt>
                <c:pt idx="322">
                  <c:v>138392.33927347892</c:v>
                </c:pt>
                <c:pt idx="323">
                  <c:v>138392.33927347892</c:v>
                </c:pt>
                <c:pt idx="324">
                  <c:v>138392.33927347892</c:v>
                </c:pt>
                <c:pt idx="325">
                  <c:v>132856.64570253977</c:v>
                </c:pt>
                <c:pt idx="326">
                  <c:v>132856.64570253977</c:v>
                </c:pt>
                <c:pt idx="327">
                  <c:v>132856.64570253977</c:v>
                </c:pt>
                <c:pt idx="328">
                  <c:v>132856.64570253977</c:v>
                </c:pt>
                <c:pt idx="329">
                  <c:v>132856.64570253977</c:v>
                </c:pt>
                <c:pt idx="330">
                  <c:v>132856.64570253977</c:v>
                </c:pt>
                <c:pt idx="331">
                  <c:v>132856.64570253977</c:v>
                </c:pt>
                <c:pt idx="332">
                  <c:v>132856.64570253977</c:v>
                </c:pt>
                <c:pt idx="333">
                  <c:v>132856.64570253977</c:v>
                </c:pt>
                <c:pt idx="334">
                  <c:v>132856.64570253977</c:v>
                </c:pt>
                <c:pt idx="335">
                  <c:v>132856.64570253977</c:v>
                </c:pt>
                <c:pt idx="336">
                  <c:v>132856.64570253977</c:v>
                </c:pt>
                <c:pt idx="337">
                  <c:v>127542.37987443816</c:v>
                </c:pt>
                <c:pt idx="338">
                  <c:v>127542.37987443816</c:v>
                </c:pt>
                <c:pt idx="339">
                  <c:v>127542.37987443816</c:v>
                </c:pt>
                <c:pt idx="340">
                  <c:v>127542.37987443816</c:v>
                </c:pt>
                <c:pt idx="341">
                  <c:v>127542.37987443816</c:v>
                </c:pt>
                <c:pt idx="342">
                  <c:v>127542.37987443816</c:v>
                </c:pt>
                <c:pt idx="343">
                  <c:v>127542.37987443816</c:v>
                </c:pt>
                <c:pt idx="344">
                  <c:v>127542.37987443816</c:v>
                </c:pt>
                <c:pt idx="345">
                  <c:v>127542.37987443816</c:v>
                </c:pt>
                <c:pt idx="346">
                  <c:v>127542.37987443816</c:v>
                </c:pt>
                <c:pt idx="347">
                  <c:v>127542.37987443816</c:v>
                </c:pt>
                <c:pt idx="348">
                  <c:v>127542.37987443816</c:v>
                </c:pt>
                <c:pt idx="349">
                  <c:v>122440.68467946065</c:v>
                </c:pt>
                <c:pt idx="350">
                  <c:v>122440.68467946065</c:v>
                </c:pt>
                <c:pt idx="351">
                  <c:v>122440.68467946065</c:v>
                </c:pt>
                <c:pt idx="352">
                  <c:v>122440.68467946065</c:v>
                </c:pt>
                <c:pt idx="353">
                  <c:v>122440.68467946065</c:v>
                </c:pt>
                <c:pt idx="354">
                  <c:v>122440.68467946065</c:v>
                </c:pt>
                <c:pt idx="355">
                  <c:v>122440.68467946065</c:v>
                </c:pt>
                <c:pt idx="356">
                  <c:v>122440.68467946065</c:v>
                </c:pt>
                <c:pt idx="357">
                  <c:v>122440.68467946065</c:v>
                </c:pt>
                <c:pt idx="358">
                  <c:v>122440.68467946065</c:v>
                </c:pt>
                <c:pt idx="359">
                  <c:v>122440.68467946065</c:v>
                </c:pt>
                <c:pt idx="360">
                  <c:v>122440.68467946065</c:v>
                </c:pt>
                <c:pt idx="361">
                  <c:v>117543.05729228222</c:v>
                </c:pt>
                <c:pt idx="362">
                  <c:v>117543.05729228222</c:v>
                </c:pt>
                <c:pt idx="363">
                  <c:v>117543.05729228222</c:v>
                </c:pt>
                <c:pt idx="364">
                  <c:v>117543.05729228222</c:v>
                </c:pt>
                <c:pt idx="365">
                  <c:v>117543.05729228222</c:v>
                </c:pt>
                <c:pt idx="366">
                  <c:v>117543.05729228222</c:v>
                </c:pt>
                <c:pt idx="367">
                  <c:v>117543.05729228222</c:v>
                </c:pt>
                <c:pt idx="368">
                  <c:v>117543.05729228222</c:v>
                </c:pt>
                <c:pt idx="369">
                  <c:v>117543.05729228222</c:v>
                </c:pt>
                <c:pt idx="370">
                  <c:v>117543.05729228222</c:v>
                </c:pt>
                <c:pt idx="371">
                  <c:v>117543.05729228222</c:v>
                </c:pt>
                <c:pt idx="372">
                  <c:v>117543.05729228222</c:v>
                </c:pt>
                <c:pt idx="373">
                  <c:v>112841.33500059092</c:v>
                </c:pt>
                <c:pt idx="374">
                  <c:v>112841.33500059092</c:v>
                </c:pt>
                <c:pt idx="375">
                  <c:v>112841.33500059092</c:v>
                </c:pt>
                <c:pt idx="376">
                  <c:v>112841.33500059092</c:v>
                </c:pt>
                <c:pt idx="377">
                  <c:v>112841.33500059092</c:v>
                </c:pt>
                <c:pt idx="378">
                  <c:v>112841.33500059092</c:v>
                </c:pt>
                <c:pt idx="379">
                  <c:v>112841.33500059092</c:v>
                </c:pt>
                <c:pt idx="380">
                  <c:v>112841.33500059092</c:v>
                </c:pt>
                <c:pt idx="381">
                  <c:v>112841.33500059092</c:v>
                </c:pt>
                <c:pt idx="382">
                  <c:v>112841.33500059092</c:v>
                </c:pt>
                <c:pt idx="383">
                  <c:v>112841.33500059092</c:v>
                </c:pt>
                <c:pt idx="384">
                  <c:v>112841.33500059092</c:v>
                </c:pt>
                <c:pt idx="385">
                  <c:v>108327.68160056729</c:v>
                </c:pt>
                <c:pt idx="386">
                  <c:v>108327.68160056729</c:v>
                </c:pt>
                <c:pt idx="387">
                  <c:v>108327.68160056729</c:v>
                </c:pt>
                <c:pt idx="388">
                  <c:v>108327.68160056729</c:v>
                </c:pt>
                <c:pt idx="389">
                  <c:v>108327.68160056729</c:v>
                </c:pt>
                <c:pt idx="390">
                  <c:v>108327.68160056729</c:v>
                </c:pt>
                <c:pt idx="391">
                  <c:v>108327.68160056729</c:v>
                </c:pt>
                <c:pt idx="392">
                  <c:v>108327.68160056729</c:v>
                </c:pt>
                <c:pt idx="393">
                  <c:v>108327.68160056729</c:v>
                </c:pt>
                <c:pt idx="394">
                  <c:v>108327.68160056729</c:v>
                </c:pt>
                <c:pt idx="395">
                  <c:v>108327.68160056729</c:v>
                </c:pt>
                <c:pt idx="396">
                  <c:v>108327.68160056729</c:v>
                </c:pt>
                <c:pt idx="397">
                  <c:v>103994.5743365446</c:v>
                </c:pt>
                <c:pt idx="398">
                  <c:v>103994.5743365446</c:v>
                </c:pt>
                <c:pt idx="399">
                  <c:v>103994.5743365446</c:v>
                </c:pt>
                <c:pt idx="400">
                  <c:v>103994.5743365446</c:v>
                </c:pt>
                <c:pt idx="401">
                  <c:v>103994.5743365446</c:v>
                </c:pt>
                <c:pt idx="402">
                  <c:v>103994.5743365446</c:v>
                </c:pt>
                <c:pt idx="403">
                  <c:v>103994.5743365446</c:v>
                </c:pt>
                <c:pt idx="404">
                  <c:v>103994.5743365446</c:v>
                </c:pt>
                <c:pt idx="405">
                  <c:v>103994.5743365446</c:v>
                </c:pt>
                <c:pt idx="406">
                  <c:v>103994.5743365446</c:v>
                </c:pt>
                <c:pt idx="407">
                  <c:v>103994.5743365446</c:v>
                </c:pt>
                <c:pt idx="408">
                  <c:v>103994.5743365446</c:v>
                </c:pt>
                <c:pt idx="409">
                  <c:v>99834.791363082812</c:v>
                </c:pt>
                <c:pt idx="410">
                  <c:v>99834.791363082812</c:v>
                </c:pt>
                <c:pt idx="411">
                  <c:v>99834.791363082812</c:v>
                </c:pt>
                <c:pt idx="412">
                  <c:v>99834.791363082812</c:v>
                </c:pt>
                <c:pt idx="413">
                  <c:v>99834.791363082812</c:v>
                </c:pt>
                <c:pt idx="414">
                  <c:v>99834.791363082812</c:v>
                </c:pt>
                <c:pt idx="415">
                  <c:v>99834.791363082812</c:v>
                </c:pt>
                <c:pt idx="416">
                  <c:v>99834.791363082812</c:v>
                </c:pt>
                <c:pt idx="417">
                  <c:v>99834.791363082812</c:v>
                </c:pt>
                <c:pt idx="418">
                  <c:v>99834.791363082812</c:v>
                </c:pt>
                <c:pt idx="419">
                  <c:v>99834.791363082812</c:v>
                </c:pt>
                <c:pt idx="420">
                  <c:v>99834.791363082812</c:v>
                </c:pt>
                <c:pt idx="421">
                  <c:v>95841.399708559504</c:v>
                </c:pt>
                <c:pt idx="422">
                  <c:v>95841.399708559504</c:v>
                </c:pt>
                <c:pt idx="423">
                  <c:v>95841.399708559504</c:v>
                </c:pt>
                <c:pt idx="424">
                  <c:v>95841.399708559504</c:v>
                </c:pt>
                <c:pt idx="425">
                  <c:v>95841.399708559504</c:v>
                </c:pt>
                <c:pt idx="426">
                  <c:v>95841.399708559504</c:v>
                </c:pt>
                <c:pt idx="427">
                  <c:v>95841.399708559504</c:v>
                </c:pt>
                <c:pt idx="428">
                  <c:v>95841.399708559504</c:v>
                </c:pt>
                <c:pt idx="429">
                  <c:v>95841.399708559504</c:v>
                </c:pt>
                <c:pt idx="430">
                  <c:v>95841.399708559504</c:v>
                </c:pt>
                <c:pt idx="431">
                  <c:v>95841.399708559504</c:v>
                </c:pt>
                <c:pt idx="432">
                  <c:v>95841.399708559504</c:v>
                </c:pt>
                <c:pt idx="433">
                  <c:v>92007.743720217113</c:v>
                </c:pt>
                <c:pt idx="434">
                  <c:v>92007.743720217113</c:v>
                </c:pt>
                <c:pt idx="435">
                  <c:v>92007.743720217113</c:v>
                </c:pt>
                <c:pt idx="436">
                  <c:v>92007.743720217113</c:v>
                </c:pt>
                <c:pt idx="437">
                  <c:v>92007.743720217113</c:v>
                </c:pt>
                <c:pt idx="438">
                  <c:v>92007.743720217113</c:v>
                </c:pt>
                <c:pt idx="439">
                  <c:v>92007.743720217113</c:v>
                </c:pt>
                <c:pt idx="440">
                  <c:v>92007.743720217113</c:v>
                </c:pt>
                <c:pt idx="441">
                  <c:v>92007.743720217113</c:v>
                </c:pt>
                <c:pt idx="442">
                  <c:v>92007.743720217113</c:v>
                </c:pt>
                <c:pt idx="443">
                  <c:v>92007.743720217113</c:v>
                </c:pt>
                <c:pt idx="444">
                  <c:v>92007.743720217113</c:v>
                </c:pt>
                <c:pt idx="445">
                  <c:v>88327.43397140842</c:v>
                </c:pt>
                <c:pt idx="446">
                  <c:v>88327.43397140842</c:v>
                </c:pt>
                <c:pt idx="447">
                  <c:v>88327.43397140842</c:v>
                </c:pt>
                <c:pt idx="448">
                  <c:v>88327.43397140842</c:v>
                </c:pt>
                <c:pt idx="449">
                  <c:v>88327.43397140842</c:v>
                </c:pt>
                <c:pt idx="450">
                  <c:v>88327.43397140842</c:v>
                </c:pt>
                <c:pt idx="451">
                  <c:v>88327.43397140842</c:v>
                </c:pt>
                <c:pt idx="452">
                  <c:v>88327.43397140842</c:v>
                </c:pt>
                <c:pt idx="453">
                  <c:v>88327.43397140842</c:v>
                </c:pt>
                <c:pt idx="454">
                  <c:v>88327.43397140842</c:v>
                </c:pt>
                <c:pt idx="455">
                  <c:v>88327.43397140842</c:v>
                </c:pt>
                <c:pt idx="456">
                  <c:v>88327.43397140842</c:v>
                </c:pt>
                <c:pt idx="457">
                  <c:v>84794.336612552084</c:v>
                </c:pt>
                <c:pt idx="458">
                  <c:v>84794.336612552084</c:v>
                </c:pt>
                <c:pt idx="459">
                  <c:v>84794.336612552084</c:v>
                </c:pt>
                <c:pt idx="460">
                  <c:v>84794.336612552084</c:v>
                </c:pt>
                <c:pt idx="461">
                  <c:v>84794.336612552084</c:v>
                </c:pt>
                <c:pt idx="462">
                  <c:v>84794.336612552084</c:v>
                </c:pt>
                <c:pt idx="463">
                  <c:v>84794.336612552084</c:v>
                </c:pt>
                <c:pt idx="464">
                  <c:v>84794.336612552084</c:v>
                </c:pt>
                <c:pt idx="465">
                  <c:v>84794.336612552084</c:v>
                </c:pt>
                <c:pt idx="466">
                  <c:v>84794.336612552084</c:v>
                </c:pt>
                <c:pt idx="467">
                  <c:v>84794.336612552084</c:v>
                </c:pt>
                <c:pt idx="468">
                  <c:v>84794.336612552084</c:v>
                </c:pt>
                <c:pt idx="469">
                  <c:v>81402.563148049987</c:v>
                </c:pt>
                <c:pt idx="470">
                  <c:v>81402.563148049987</c:v>
                </c:pt>
                <c:pt idx="471">
                  <c:v>81402.563148049987</c:v>
                </c:pt>
                <c:pt idx="472">
                  <c:v>81402.563148049987</c:v>
                </c:pt>
                <c:pt idx="473">
                  <c:v>81402.563148049987</c:v>
                </c:pt>
                <c:pt idx="474">
                  <c:v>81402.563148049987</c:v>
                </c:pt>
                <c:pt idx="475">
                  <c:v>81402.563148049987</c:v>
                </c:pt>
                <c:pt idx="476">
                  <c:v>81402.563148049987</c:v>
                </c:pt>
                <c:pt idx="477">
                  <c:v>81402.563148049987</c:v>
                </c:pt>
                <c:pt idx="478">
                  <c:v>81402.563148049987</c:v>
                </c:pt>
                <c:pt idx="479">
                  <c:v>81402.563148049987</c:v>
                </c:pt>
                <c:pt idx="480">
                  <c:v>81402.563148049987</c:v>
                </c:pt>
                <c:pt idx="481">
                  <c:v>78146.460622127983</c:v>
                </c:pt>
                <c:pt idx="482">
                  <c:v>78146.460622127983</c:v>
                </c:pt>
                <c:pt idx="483">
                  <c:v>78146.460622127983</c:v>
                </c:pt>
                <c:pt idx="484">
                  <c:v>78146.460622127983</c:v>
                </c:pt>
                <c:pt idx="485">
                  <c:v>78146.460622127983</c:v>
                </c:pt>
                <c:pt idx="486">
                  <c:v>78146.460622127983</c:v>
                </c:pt>
                <c:pt idx="487">
                  <c:v>78146.460622127983</c:v>
                </c:pt>
                <c:pt idx="488">
                  <c:v>78146.460622127983</c:v>
                </c:pt>
                <c:pt idx="489">
                  <c:v>78146.460622127983</c:v>
                </c:pt>
                <c:pt idx="490">
                  <c:v>78146.460622127983</c:v>
                </c:pt>
                <c:pt idx="491">
                  <c:v>78146.460622127983</c:v>
                </c:pt>
                <c:pt idx="492">
                  <c:v>78146.460622127983</c:v>
                </c:pt>
                <c:pt idx="493">
                  <c:v>75020.602197242872</c:v>
                </c:pt>
                <c:pt idx="494">
                  <c:v>75020.602197242872</c:v>
                </c:pt>
                <c:pt idx="495">
                  <c:v>75020.602197242872</c:v>
                </c:pt>
                <c:pt idx="496">
                  <c:v>75020.602197242872</c:v>
                </c:pt>
                <c:pt idx="497">
                  <c:v>75020.602197242872</c:v>
                </c:pt>
                <c:pt idx="498">
                  <c:v>75020.602197242872</c:v>
                </c:pt>
                <c:pt idx="499">
                  <c:v>75020.602197242872</c:v>
                </c:pt>
                <c:pt idx="500">
                  <c:v>75020.602197242872</c:v>
                </c:pt>
                <c:pt idx="501">
                  <c:v>75020.602197242872</c:v>
                </c:pt>
                <c:pt idx="502">
                  <c:v>75020.602197242872</c:v>
                </c:pt>
                <c:pt idx="503">
                  <c:v>75020.602197242872</c:v>
                </c:pt>
                <c:pt idx="504">
                  <c:v>75020.602197242872</c:v>
                </c:pt>
                <c:pt idx="505">
                  <c:v>72019.778109353152</c:v>
                </c:pt>
                <c:pt idx="506">
                  <c:v>72019.778109353152</c:v>
                </c:pt>
                <c:pt idx="507">
                  <c:v>72019.778109353152</c:v>
                </c:pt>
                <c:pt idx="508">
                  <c:v>72019.778109353152</c:v>
                </c:pt>
                <c:pt idx="509">
                  <c:v>72019.778109353152</c:v>
                </c:pt>
                <c:pt idx="510">
                  <c:v>72019.778109353152</c:v>
                </c:pt>
                <c:pt idx="511">
                  <c:v>72019.778109353152</c:v>
                </c:pt>
                <c:pt idx="512">
                  <c:v>72019.778109353152</c:v>
                </c:pt>
                <c:pt idx="513">
                  <c:v>72019.778109353152</c:v>
                </c:pt>
                <c:pt idx="514">
                  <c:v>72019.778109353152</c:v>
                </c:pt>
                <c:pt idx="515">
                  <c:v>72019.778109353152</c:v>
                </c:pt>
                <c:pt idx="516">
                  <c:v>72019.778109353152</c:v>
                </c:pt>
                <c:pt idx="517">
                  <c:v>69138.986984979027</c:v>
                </c:pt>
                <c:pt idx="518">
                  <c:v>69138.986984979027</c:v>
                </c:pt>
                <c:pt idx="519">
                  <c:v>69138.986984979027</c:v>
                </c:pt>
                <c:pt idx="520">
                  <c:v>69138.986984979027</c:v>
                </c:pt>
                <c:pt idx="521">
                  <c:v>69138.986984979027</c:v>
                </c:pt>
                <c:pt idx="522">
                  <c:v>69138.986984979027</c:v>
                </c:pt>
                <c:pt idx="523">
                  <c:v>69138.986984979027</c:v>
                </c:pt>
                <c:pt idx="524">
                  <c:v>69138.986984979027</c:v>
                </c:pt>
                <c:pt idx="525">
                  <c:v>69138.986984979027</c:v>
                </c:pt>
                <c:pt idx="526">
                  <c:v>69138.986984979027</c:v>
                </c:pt>
                <c:pt idx="527">
                  <c:v>69138.986984979027</c:v>
                </c:pt>
                <c:pt idx="528">
                  <c:v>69138.986984979027</c:v>
                </c:pt>
                <c:pt idx="529">
                  <c:v>66373.427505579864</c:v>
                </c:pt>
                <c:pt idx="530">
                  <c:v>66373.427505579864</c:v>
                </c:pt>
                <c:pt idx="531">
                  <c:v>66373.427505579864</c:v>
                </c:pt>
                <c:pt idx="532">
                  <c:v>66373.427505579864</c:v>
                </c:pt>
                <c:pt idx="533">
                  <c:v>66373.427505579864</c:v>
                </c:pt>
                <c:pt idx="534">
                  <c:v>66373.427505579864</c:v>
                </c:pt>
                <c:pt idx="535">
                  <c:v>66373.427505579864</c:v>
                </c:pt>
                <c:pt idx="536">
                  <c:v>66373.427505579864</c:v>
                </c:pt>
                <c:pt idx="537">
                  <c:v>66373.427505579864</c:v>
                </c:pt>
                <c:pt idx="538">
                  <c:v>66373.427505579864</c:v>
                </c:pt>
                <c:pt idx="539">
                  <c:v>66373.427505579864</c:v>
                </c:pt>
                <c:pt idx="540">
                  <c:v>66373.427505579864</c:v>
                </c:pt>
                <c:pt idx="541">
                  <c:v>63718.490405356664</c:v>
                </c:pt>
                <c:pt idx="542">
                  <c:v>63718.490405356664</c:v>
                </c:pt>
                <c:pt idx="543">
                  <c:v>63718.490405356664</c:v>
                </c:pt>
                <c:pt idx="544">
                  <c:v>63718.490405356664</c:v>
                </c:pt>
                <c:pt idx="545">
                  <c:v>63718.490405356664</c:v>
                </c:pt>
                <c:pt idx="546">
                  <c:v>63718.490405356664</c:v>
                </c:pt>
                <c:pt idx="547">
                  <c:v>63718.490405356664</c:v>
                </c:pt>
                <c:pt idx="548">
                  <c:v>63718.490405356664</c:v>
                </c:pt>
                <c:pt idx="549">
                  <c:v>63718.490405356664</c:v>
                </c:pt>
                <c:pt idx="550">
                  <c:v>63718.490405356664</c:v>
                </c:pt>
                <c:pt idx="551">
                  <c:v>63718.490405356664</c:v>
                </c:pt>
                <c:pt idx="552">
                  <c:v>63718.490405356664</c:v>
                </c:pt>
                <c:pt idx="553">
                  <c:v>61169.750789142388</c:v>
                </c:pt>
                <c:pt idx="554">
                  <c:v>61169.750789142388</c:v>
                </c:pt>
                <c:pt idx="555">
                  <c:v>61169.750789142388</c:v>
                </c:pt>
                <c:pt idx="556">
                  <c:v>61169.750789142388</c:v>
                </c:pt>
                <c:pt idx="557">
                  <c:v>61169.750789142388</c:v>
                </c:pt>
                <c:pt idx="558">
                  <c:v>61169.750789142388</c:v>
                </c:pt>
                <c:pt idx="559">
                  <c:v>61169.750789142388</c:v>
                </c:pt>
                <c:pt idx="560">
                  <c:v>61169.750789142388</c:v>
                </c:pt>
                <c:pt idx="561">
                  <c:v>61169.750789142388</c:v>
                </c:pt>
                <c:pt idx="562">
                  <c:v>61169.750789142388</c:v>
                </c:pt>
                <c:pt idx="563">
                  <c:v>61169.750789142388</c:v>
                </c:pt>
                <c:pt idx="564">
                  <c:v>61169.750789142388</c:v>
                </c:pt>
                <c:pt idx="565">
                  <c:v>58722.960757576686</c:v>
                </c:pt>
                <c:pt idx="566">
                  <c:v>58722.960757576686</c:v>
                </c:pt>
                <c:pt idx="567">
                  <c:v>58722.960757576686</c:v>
                </c:pt>
                <c:pt idx="568">
                  <c:v>58722.960757576686</c:v>
                </c:pt>
                <c:pt idx="569">
                  <c:v>58722.960757576686</c:v>
                </c:pt>
                <c:pt idx="570">
                  <c:v>58722.960757576686</c:v>
                </c:pt>
                <c:pt idx="571">
                  <c:v>58722.960757576686</c:v>
                </c:pt>
                <c:pt idx="572">
                  <c:v>58722.960757576686</c:v>
                </c:pt>
                <c:pt idx="573">
                  <c:v>58722.960757576686</c:v>
                </c:pt>
                <c:pt idx="574">
                  <c:v>58722.960757576686</c:v>
                </c:pt>
                <c:pt idx="575">
                  <c:v>58722.960757576686</c:v>
                </c:pt>
                <c:pt idx="576">
                  <c:v>58722.960757576686</c:v>
                </c:pt>
                <c:pt idx="577">
                  <c:v>56374.042327273615</c:v>
                </c:pt>
                <c:pt idx="578">
                  <c:v>56374.042327273615</c:v>
                </c:pt>
                <c:pt idx="579">
                  <c:v>56374.042327273615</c:v>
                </c:pt>
                <c:pt idx="580">
                  <c:v>56374.042327273615</c:v>
                </c:pt>
                <c:pt idx="581">
                  <c:v>56374.042327273615</c:v>
                </c:pt>
                <c:pt idx="582">
                  <c:v>56374.042327273615</c:v>
                </c:pt>
                <c:pt idx="583">
                  <c:v>56374.042327273615</c:v>
                </c:pt>
                <c:pt idx="584">
                  <c:v>56374.042327273615</c:v>
                </c:pt>
                <c:pt idx="585">
                  <c:v>56374.042327273615</c:v>
                </c:pt>
                <c:pt idx="586">
                  <c:v>56374.042327273615</c:v>
                </c:pt>
                <c:pt idx="587">
                  <c:v>56374.042327273615</c:v>
                </c:pt>
                <c:pt idx="588">
                  <c:v>56374.042327273615</c:v>
                </c:pt>
                <c:pt idx="589">
                  <c:v>54119.080634182668</c:v>
                </c:pt>
                <c:pt idx="590">
                  <c:v>54119.080634182668</c:v>
                </c:pt>
                <c:pt idx="591">
                  <c:v>54119.080634182668</c:v>
                </c:pt>
                <c:pt idx="592">
                  <c:v>54119.080634182668</c:v>
                </c:pt>
                <c:pt idx="593">
                  <c:v>54119.080634182668</c:v>
                </c:pt>
                <c:pt idx="594">
                  <c:v>54119.080634182668</c:v>
                </c:pt>
                <c:pt idx="595">
                  <c:v>54119.080634182668</c:v>
                </c:pt>
                <c:pt idx="596">
                  <c:v>54119.080634182668</c:v>
                </c:pt>
                <c:pt idx="597">
                  <c:v>54119.080634182668</c:v>
                </c:pt>
                <c:pt idx="598">
                  <c:v>54119.080634182668</c:v>
                </c:pt>
                <c:pt idx="599">
                  <c:v>54119.080634182668</c:v>
                </c:pt>
                <c:pt idx="600">
                  <c:v>54119.080634182668</c:v>
                </c:pt>
                <c:pt idx="601">
                  <c:v>51954.317408815361</c:v>
                </c:pt>
                <c:pt idx="602">
                  <c:v>51954.317408815361</c:v>
                </c:pt>
                <c:pt idx="603">
                  <c:v>51954.317408815361</c:v>
                </c:pt>
                <c:pt idx="604">
                  <c:v>51954.317408815361</c:v>
                </c:pt>
                <c:pt idx="605">
                  <c:v>51954.317408815361</c:v>
                </c:pt>
                <c:pt idx="606">
                  <c:v>51954.317408815361</c:v>
                </c:pt>
                <c:pt idx="607">
                  <c:v>51954.317408815361</c:v>
                </c:pt>
                <c:pt idx="608">
                  <c:v>51954.317408815361</c:v>
                </c:pt>
                <c:pt idx="609">
                  <c:v>51954.317408815361</c:v>
                </c:pt>
                <c:pt idx="610">
                  <c:v>51954.317408815361</c:v>
                </c:pt>
                <c:pt idx="611">
                  <c:v>51954.317408815361</c:v>
                </c:pt>
                <c:pt idx="612">
                  <c:v>51954.317408815361</c:v>
                </c:pt>
                <c:pt idx="613">
                  <c:v>49876.144712462745</c:v>
                </c:pt>
                <c:pt idx="614">
                  <c:v>49876.144712462745</c:v>
                </c:pt>
                <c:pt idx="615">
                  <c:v>49876.144712462745</c:v>
                </c:pt>
                <c:pt idx="616">
                  <c:v>49876.144712462745</c:v>
                </c:pt>
                <c:pt idx="617">
                  <c:v>49876.144712462745</c:v>
                </c:pt>
                <c:pt idx="618">
                  <c:v>49876.144712462745</c:v>
                </c:pt>
                <c:pt idx="619">
                  <c:v>49876.144712462745</c:v>
                </c:pt>
                <c:pt idx="620">
                  <c:v>49876.144712462745</c:v>
                </c:pt>
                <c:pt idx="621">
                  <c:v>49876.144712462745</c:v>
                </c:pt>
                <c:pt idx="622">
                  <c:v>49876.144712462745</c:v>
                </c:pt>
                <c:pt idx="623">
                  <c:v>49876.144712462745</c:v>
                </c:pt>
                <c:pt idx="624">
                  <c:v>49876.144712462745</c:v>
                </c:pt>
                <c:pt idx="625">
                  <c:v>47881.098923964229</c:v>
                </c:pt>
                <c:pt idx="626">
                  <c:v>47881.098923964229</c:v>
                </c:pt>
                <c:pt idx="627">
                  <c:v>47881.098923964229</c:v>
                </c:pt>
                <c:pt idx="628">
                  <c:v>47881.098923964229</c:v>
                </c:pt>
                <c:pt idx="629">
                  <c:v>47881.098923964229</c:v>
                </c:pt>
                <c:pt idx="630">
                  <c:v>47881.098923964229</c:v>
                </c:pt>
                <c:pt idx="631">
                  <c:v>47881.098923964229</c:v>
                </c:pt>
                <c:pt idx="632">
                  <c:v>47881.098923964229</c:v>
                </c:pt>
                <c:pt idx="633">
                  <c:v>47881.098923964229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E-471E-8963-96354D0D5BB0}"/>
            </c:ext>
          </c:extLst>
        </c:ser>
        <c:ser>
          <c:idx val="2"/>
          <c:order val="2"/>
          <c:tx>
            <c:strRef>
              <c:f>'Token Releasing Plan'!$D$16</c:f>
              <c:strCache>
                <c:ptCount val="1"/>
                <c:pt idx="0">
                  <c:v>Airdrop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'Token Releasing Plan'!$A$17:$A$650</c:f>
              <c:strCache>
                <c:ptCount val="634"/>
                <c:pt idx="0">
                  <c:v>W0 - Pilot Show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  <c:pt idx="9">
                  <c:v>W9</c:v>
                </c:pt>
                <c:pt idx="10">
                  <c:v>W10</c:v>
                </c:pt>
                <c:pt idx="11">
                  <c:v>W11</c:v>
                </c:pt>
                <c:pt idx="12">
                  <c:v>W12</c:v>
                </c:pt>
                <c:pt idx="13">
                  <c:v>W13</c:v>
                </c:pt>
                <c:pt idx="14">
                  <c:v>W14</c:v>
                </c:pt>
                <c:pt idx="15">
                  <c:v>W15</c:v>
                </c:pt>
                <c:pt idx="16">
                  <c:v>W16</c:v>
                </c:pt>
                <c:pt idx="17">
                  <c:v>W17</c:v>
                </c:pt>
                <c:pt idx="18">
                  <c:v>W18</c:v>
                </c:pt>
                <c:pt idx="19">
                  <c:v>W19</c:v>
                </c:pt>
                <c:pt idx="20">
                  <c:v>W20</c:v>
                </c:pt>
                <c:pt idx="21">
                  <c:v>W21</c:v>
                </c:pt>
                <c:pt idx="22">
                  <c:v>W22</c:v>
                </c:pt>
                <c:pt idx="23">
                  <c:v>W23</c:v>
                </c:pt>
                <c:pt idx="24">
                  <c:v>W24</c:v>
                </c:pt>
                <c:pt idx="25">
                  <c:v>W25</c:v>
                </c:pt>
                <c:pt idx="26">
                  <c:v>W26</c:v>
                </c:pt>
                <c:pt idx="27">
                  <c:v>W27</c:v>
                </c:pt>
                <c:pt idx="28">
                  <c:v>W28</c:v>
                </c:pt>
                <c:pt idx="29">
                  <c:v>W29</c:v>
                </c:pt>
                <c:pt idx="30">
                  <c:v>W30</c:v>
                </c:pt>
                <c:pt idx="31">
                  <c:v>W31</c:v>
                </c:pt>
                <c:pt idx="32">
                  <c:v>W32</c:v>
                </c:pt>
                <c:pt idx="33">
                  <c:v>W33</c:v>
                </c:pt>
                <c:pt idx="34">
                  <c:v>W34</c:v>
                </c:pt>
                <c:pt idx="35">
                  <c:v>W35</c:v>
                </c:pt>
                <c:pt idx="36">
                  <c:v>W36</c:v>
                </c:pt>
                <c:pt idx="37">
                  <c:v>W37</c:v>
                </c:pt>
                <c:pt idx="38">
                  <c:v>W38</c:v>
                </c:pt>
                <c:pt idx="39">
                  <c:v>W39</c:v>
                </c:pt>
                <c:pt idx="40">
                  <c:v>W40</c:v>
                </c:pt>
                <c:pt idx="41">
                  <c:v>W41</c:v>
                </c:pt>
                <c:pt idx="42">
                  <c:v>W42</c:v>
                </c:pt>
                <c:pt idx="43">
                  <c:v>W43</c:v>
                </c:pt>
                <c:pt idx="44">
                  <c:v>W44</c:v>
                </c:pt>
                <c:pt idx="45">
                  <c:v>W45</c:v>
                </c:pt>
                <c:pt idx="46">
                  <c:v>W46</c:v>
                </c:pt>
                <c:pt idx="47">
                  <c:v>W47</c:v>
                </c:pt>
                <c:pt idx="48">
                  <c:v>W48</c:v>
                </c:pt>
                <c:pt idx="49">
                  <c:v>W49</c:v>
                </c:pt>
                <c:pt idx="50">
                  <c:v>W50</c:v>
                </c:pt>
                <c:pt idx="51">
                  <c:v>W51</c:v>
                </c:pt>
                <c:pt idx="52">
                  <c:v>W52</c:v>
                </c:pt>
                <c:pt idx="53">
                  <c:v>W53</c:v>
                </c:pt>
                <c:pt idx="54">
                  <c:v>W54</c:v>
                </c:pt>
                <c:pt idx="55">
                  <c:v>W55</c:v>
                </c:pt>
                <c:pt idx="56">
                  <c:v>W56</c:v>
                </c:pt>
                <c:pt idx="57">
                  <c:v>W57</c:v>
                </c:pt>
                <c:pt idx="58">
                  <c:v>W58</c:v>
                </c:pt>
                <c:pt idx="59">
                  <c:v>W59</c:v>
                </c:pt>
                <c:pt idx="60">
                  <c:v>W60</c:v>
                </c:pt>
                <c:pt idx="61">
                  <c:v>W61</c:v>
                </c:pt>
                <c:pt idx="62">
                  <c:v>W62</c:v>
                </c:pt>
                <c:pt idx="63">
                  <c:v>W63</c:v>
                </c:pt>
                <c:pt idx="64">
                  <c:v>W64</c:v>
                </c:pt>
                <c:pt idx="65">
                  <c:v>W65</c:v>
                </c:pt>
                <c:pt idx="66">
                  <c:v>W66</c:v>
                </c:pt>
                <c:pt idx="67">
                  <c:v>W67</c:v>
                </c:pt>
                <c:pt idx="68">
                  <c:v>W68</c:v>
                </c:pt>
                <c:pt idx="69">
                  <c:v>W69</c:v>
                </c:pt>
                <c:pt idx="70">
                  <c:v>W70</c:v>
                </c:pt>
                <c:pt idx="71">
                  <c:v>W71</c:v>
                </c:pt>
                <c:pt idx="72">
                  <c:v>W72</c:v>
                </c:pt>
                <c:pt idx="73">
                  <c:v>W73</c:v>
                </c:pt>
                <c:pt idx="74">
                  <c:v>W74</c:v>
                </c:pt>
                <c:pt idx="75">
                  <c:v>W75</c:v>
                </c:pt>
                <c:pt idx="76">
                  <c:v>W76</c:v>
                </c:pt>
                <c:pt idx="77">
                  <c:v>W77</c:v>
                </c:pt>
                <c:pt idx="78">
                  <c:v>W78</c:v>
                </c:pt>
                <c:pt idx="79">
                  <c:v>W79</c:v>
                </c:pt>
                <c:pt idx="80">
                  <c:v>W80</c:v>
                </c:pt>
                <c:pt idx="81">
                  <c:v>W81</c:v>
                </c:pt>
                <c:pt idx="82">
                  <c:v>W82</c:v>
                </c:pt>
                <c:pt idx="83">
                  <c:v>W83</c:v>
                </c:pt>
                <c:pt idx="84">
                  <c:v>W84</c:v>
                </c:pt>
                <c:pt idx="85">
                  <c:v>W85</c:v>
                </c:pt>
                <c:pt idx="86">
                  <c:v>W86</c:v>
                </c:pt>
                <c:pt idx="87">
                  <c:v>W87</c:v>
                </c:pt>
                <c:pt idx="88">
                  <c:v>W88</c:v>
                </c:pt>
                <c:pt idx="89">
                  <c:v>W89</c:v>
                </c:pt>
                <c:pt idx="90">
                  <c:v>W90</c:v>
                </c:pt>
                <c:pt idx="91">
                  <c:v>W91</c:v>
                </c:pt>
                <c:pt idx="92">
                  <c:v>W92</c:v>
                </c:pt>
                <c:pt idx="93">
                  <c:v>W93</c:v>
                </c:pt>
                <c:pt idx="94">
                  <c:v>W94</c:v>
                </c:pt>
                <c:pt idx="95">
                  <c:v>W95</c:v>
                </c:pt>
                <c:pt idx="96">
                  <c:v>W96</c:v>
                </c:pt>
                <c:pt idx="97">
                  <c:v>W97</c:v>
                </c:pt>
                <c:pt idx="98">
                  <c:v>W98</c:v>
                </c:pt>
                <c:pt idx="99">
                  <c:v>W99</c:v>
                </c:pt>
                <c:pt idx="100">
                  <c:v>W100</c:v>
                </c:pt>
                <c:pt idx="101">
                  <c:v>W101</c:v>
                </c:pt>
                <c:pt idx="102">
                  <c:v>W102</c:v>
                </c:pt>
                <c:pt idx="103">
                  <c:v>W103</c:v>
                </c:pt>
                <c:pt idx="104">
                  <c:v>W104</c:v>
                </c:pt>
                <c:pt idx="105">
                  <c:v>W105</c:v>
                </c:pt>
                <c:pt idx="106">
                  <c:v>W106</c:v>
                </c:pt>
                <c:pt idx="107">
                  <c:v>W107</c:v>
                </c:pt>
                <c:pt idx="108">
                  <c:v>W108</c:v>
                </c:pt>
                <c:pt idx="109">
                  <c:v>W109</c:v>
                </c:pt>
                <c:pt idx="110">
                  <c:v>W110</c:v>
                </c:pt>
                <c:pt idx="111">
                  <c:v>W111</c:v>
                </c:pt>
                <c:pt idx="112">
                  <c:v>W112</c:v>
                </c:pt>
                <c:pt idx="113">
                  <c:v>W113</c:v>
                </c:pt>
                <c:pt idx="114">
                  <c:v>W114</c:v>
                </c:pt>
                <c:pt idx="115">
                  <c:v>W115</c:v>
                </c:pt>
                <c:pt idx="116">
                  <c:v>W116</c:v>
                </c:pt>
                <c:pt idx="117">
                  <c:v>W117</c:v>
                </c:pt>
                <c:pt idx="118">
                  <c:v>W118</c:v>
                </c:pt>
                <c:pt idx="119">
                  <c:v>W119</c:v>
                </c:pt>
                <c:pt idx="120">
                  <c:v>W120</c:v>
                </c:pt>
                <c:pt idx="121">
                  <c:v>W121</c:v>
                </c:pt>
                <c:pt idx="122">
                  <c:v>W122</c:v>
                </c:pt>
                <c:pt idx="123">
                  <c:v>W123</c:v>
                </c:pt>
                <c:pt idx="124">
                  <c:v>W124</c:v>
                </c:pt>
                <c:pt idx="125">
                  <c:v>W125</c:v>
                </c:pt>
                <c:pt idx="126">
                  <c:v>W126</c:v>
                </c:pt>
                <c:pt idx="127">
                  <c:v>W127</c:v>
                </c:pt>
                <c:pt idx="128">
                  <c:v>W128</c:v>
                </c:pt>
                <c:pt idx="129">
                  <c:v>W129</c:v>
                </c:pt>
                <c:pt idx="130">
                  <c:v>W130</c:v>
                </c:pt>
                <c:pt idx="131">
                  <c:v>W131</c:v>
                </c:pt>
                <c:pt idx="132">
                  <c:v>W132</c:v>
                </c:pt>
                <c:pt idx="133">
                  <c:v>W133</c:v>
                </c:pt>
                <c:pt idx="134">
                  <c:v>W134</c:v>
                </c:pt>
                <c:pt idx="135">
                  <c:v>W135</c:v>
                </c:pt>
                <c:pt idx="136">
                  <c:v>W136</c:v>
                </c:pt>
                <c:pt idx="137">
                  <c:v>W137</c:v>
                </c:pt>
                <c:pt idx="138">
                  <c:v>W138</c:v>
                </c:pt>
                <c:pt idx="139">
                  <c:v>W139</c:v>
                </c:pt>
                <c:pt idx="140">
                  <c:v>W140</c:v>
                </c:pt>
                <c:pt idx="141">
                  <c:v>W141</c:v>
                </c:pt>
                <c:pt idx="142">
                  <c:v>W142</c:v>
                </c:pt>
                <c:pt idx="143">
                  <c:v>W143</c:v>
                </c:pt>
                <c:pt idx="144">
                  <c:v>W144</c:v>
                </c:pt>
                <c:pt idx="145">
                  <c:v>W145</c:v>
                </c:pt>
                <c:pt idx="146">
                  <c:v>W146</c:v>
                </c:pt>
                <c:pt idx="147">
                  <c:v>W147</c:v>
                </c:pt>
                <c:pt idx="148">
                  <c:v>W148</c:v>
                </c:pt>
                <c:pt idx="149">
                  <c:v>W149</c:v>
                </c:pt>
                <c:pt idx="150">
                  <c:v>W150</c:v>
                </c:pt>
                <c:pt idx="151">
                  <c:v>W151</c:v>
                </c:pt>
                <c:pt idx="152">
                  <c:v>W152</c:v>
                </c:pt>
                <c:pt idx="153">
                  <c:v>W153</c:v>
                </c:pt>
                <c:pt idx="154">
                  <c:v>W154</c:v>
                </c:pt>
                <c:pt idx="155">
                  <c:v>W155</c:v>
                </c:pt>
                <c:pt idx="156">
                  <c:v>W156</c:v>
                </c:pt>
                <c:pt idx="157">
                  <c:v>W157</c:v>
                </c:pt>
                <c:pt idx="158">
                  <c:v>W158</c:v>
                </c:pt>
                <c:pt idx="159">
                  <c:v>W159</c:v>
                </c:pt>
                <c:pt idx="160">
                  <c:v>W160</c:v>
                </c:pt>
                <c:pt idx="161">
                  <c:v>W161</c:v>
                </c:pt>
                <c:pt idx="162">
                  <c:v>W162</c:v>
                </c:pt>
                <c:pt idx="163">
                  <c:v>W163</c:v>
                </c:pt>
                <c:pt idx="164">
                  <c:v>W164</c:v>
                </c:pt>
                <c:pt idx="165">
                  <c:v>W165</c:v>
                </c:pt>
                <c:pt idx="166">
                  <c:v>W166</c:v>
                </c:pt>
                <c:pt idx="167">
                  <c:v>W167</c:v>
                </c:pt>
                <c:pt idx="168">
                  <c:v>W168</c:v>
                </c:pt>
                <c:pt idx="169">
                  <c:v>W169</c:v>
                </c:pt>
                <c:pt idx="170">
                  <c:v>W170</c:v>
                </c:pt>
                <c:pt idx="171">
                  <c:v>W171</c:v>
                </c:pt>
                <c:pt idx="172">
                  <c:v>W172</c:v>
                </c:pt>
                <c:pt idx="173">
                  <c:v>W173</c:v>
                </c:pt>
                <c:pt idx="174">
                  <c:v>W174</c:v>
                </c:pt>
                <c:pt idx="175">
                  <c:v>W175</c:v>
                </c:pt>
                <c:pt idx="176">
                  <c:v>W176</c:v>
                </c:pt>
                <c:pt idx="177">
                  <c:v>W177</c:v>
                </c:pt>
                <c:pt idx="178">
                  <c:v>W178</c:v>
                </c:pt>
                <c:pt idx="179">
                  <c:v>W179</c:v>
                </c:pt>
                <c:pt idx="180">
                  <c:v>W180</c:v>
                </c:pt>
                <c:pt idx="181">
                  <c:v>W181</c:v>
                </c:pt>
                <c:pt idx="182">
                  <c:v>W182</c:v>
                </c:pt>
                <c:pt idx="183">
                  <c:v>W183</c:v>
                </c:pt>
                <c:pt idx="184">
                  <c:v>W184</c:v>
                </c:pt>
                <c:pt idx="185">
                  <c:v>W185</c:v>
                </c:pt>
                <c:pt idx="186">
                  <c:v>W186</c:v>
                </c:pt>
                <c:pt idx="187">
                  <c:v>W187</c:v>
                </c:pt>
                <c:pt idx="188">
                  <c:v>W188</c:v>
                </c:pt>
                <c:pt idx="189">
                  <c:v>W189</c:v>
                </c:pt>
                <c:pt idx="190">
                  <c:v>W190</c:v>
                </c:pt>
                <c:pt idx="191">
                  <c:v>W191</c:v>
                </c:pt>
                <c:pt idx="192">
                  <c:v>W192</c:v>
                </c:pt>
                <c:pt idx="193">
                  <c:v>W193</c:v>
                </c:pt>
                <c:pt idx="194">
                  <c:v>W194</c:v>
                </c:pt>
                <c:pt idx="195">
                  <c:v>W195</c:v>
                </c:pt>
                <c:pt idx="196">
                  <c:v>W196</c:v>
                </c:pt>
                <c:pt idx="197">
                  <c:v>W197</c:v>
                </c:pt>
                <c:pt idx="198">
                  <c:v>W198</c:v>
                </c:pt>
                <c:pt idx="199">
                  <c:v>W199</c:v>
                </c:pt>
                <c:pt idx="200">
                  <c:v>W200</c:v>
                </c:pt>
                <c:pt idx="201">
                  <c:v>W201</c:v>
                </c:pt>
                <c:pt idx="202">
                  <c:v>W202</c:v>
                </c:pt>
                <c:pt idx="203">
                  <c:v>W203</c:v>
                </c:pt>
                <c:pt idx="204">
                  <c:v>W204</c:v>
                </c:pt>
                <c:pt idx="205">
                  <c:v>W205</c:v>
                </c:pt>
                <c:pt idx="206">
                  <c:v>W206</c:v>
                </c:pt>
                <c:pt idx="207">
                  <c:v>W207</c:v>
                </c:pt>
                <c:pt idx="208">
                  <c:v>W208</c:v>
                </c:pt>
                <c:pt idx="209">
                  <c:v>W209</c:v>
                </c:pt>
                <c:pt idx="210">
                  <c:v>W210</c:v>
                </c:pt>
                <c:pt idx="211">
                  <c:v>W211</c:v>
                </c:pt>
                <c:pt idx="212">
                  <c:v>W212</c:v>
                </c:pt>
                <c:pt idx="213">
                  <c:v>W213</c:v>
                </c:pt>
                <c:pt idx="214">
                  <c:v>W214</c:v>
                </c:pt>
                <c:pt idx="215">
                  <c:v>W215</c:v>
                </c:pt>
                <c:pt idx="216">
                  <c:v>W216</c:v>
                </c:pt>
                <c:pt idx="217">
                  <c:v>W217</c:v>
                </c:pt>
                <c:pt idx="218">
                  <c:v>W218</c:v>
                </c:pt>
                <c:pt idx="219">
                  <c:v>W219</c:v>
                </c:pt>
                <c:pt idx="220">
                  <c:v>W220</c:v>
                </c:pt>
                <c:pt idx="221">
                  <c:v>W221</c:v>
                </c:pt>
                <c:pt idx="222">
                  <c:v>W222</c:v>
                </c:pt>
                <c:pt idx="223">
                  <c:v>W223</c:v>
                </c:pt>
                <c:pt idx="224">
                  <c:v>W224</c:v>
                </c:pt>
                <c:pt idx="225">
                  <c:v>W225</c:v>
                </c:pt>
                <c:pt idx="226">
                  <c:v>W226</c:v>
                </c:pt>
                <c:pt idx="227">
                  <c:v>W227</c:v>
                </c:pt>
                <c:pt idx="228">
                  <c:v>W228</c:v>
                </c:pt>
                <c:pt idx="229">
                  <c:v>W229</c:v>
                </c:pt>
                <c:pt idx="230">
                  <c:v>W230</c:v>
                </c:pt>
                <c:pt idx="231">
                  <c:v>W231</c:v>
                </c:pt>
                <c:pt idx="232">
                  <c:v>W232</c:v>
                </c:pt>
                <c:pt idx="233">
                  <c:v>W233</c:v>
                </c:pt>
                <c:pt idx="234">
                  <c:v>W234</c:v>
                </c:pt>
                <c:pt idx="235">
                  <c:v>W235</c:v>
                </c:pt>
                <c:pt idx="236">
                  <c:v>W236</c:v>
                </c:pt>
                <c:pt idx="237">
                  <c:v>W237</c:v>
                </c:pt>
                <c:pt idx="238">
                  <c:v>W238</c:v>
                </c:pt>
                <c:pt idx="239">
                  <c:v>W239</c:v>
                </c:pt>
                <c:pt idx="240">
                  <c:v>W240</c:v>
                </c:pt>
                <c:pt idx="241">
                  <c:v>W241</c:v>
                </c:pt>
                <c:pt idx="242">
                  <c:v>W242</c:v>
                </c:pt>
                <c:pt idx="243">
                  <c:v>W243</c:v>
                </c:pt>
                <c:pt idx="244">
                  <c:v>W244</c:v>
                </c:pt>
                <c:pt idx="245">
                  <c:v>W245</c:v>
                </c:pt>
                <c:pt idx="246">
                  <c:v>W246</c:v>
                </c:pt>
                <c:pt idx="247">
                  <c:v>W247</c:v>
                </c:pt>
                <c:pt idx="248">
                  <c:v>W248</c:v>
                </c:pt>
                <c:pt idx="249">
                  <c:v>W249</c:v>
                </c:pt>
                <c:pt idx="250">
                  <c:v>W250</c:v>
                </c:pt>
                <c:pt idx="251">
                  <c:v>W251</c:v>
                </c:pt>
                <c:pt idx="252">
                  <c:v>W252</c:v>
                </c:pt>
                <c:pt idx="253">
                  <c:v>W253</c:v>
                </c:pt>
                <c:pt idx="254">
                  <c:v>W254</c:v>
                </c:pt>
                <c:pt idx="255">
                  <c:v>W255</c:v>
                </c:pt>
                <c:pt idx="256">
                  <c:v>W256</c:v>
                </c:pt>
                <c:pt idx="257">
                  <c:v>W257</c:v>
                </c:pt>
                <c:pt idx="258">
                  <c:v>W258</c:v>
                </c:pt>
                <c:pt idx="259">
                  <c:v>W259</c:v>
                </c:pt>
                <c:pt idx="260">
                  <c:v>W260</c:v>
                </c:pt>
                <c:pt idx="261">
                  <c:v>W261</c:v>
                </c:pt>
                <c:pt idx="262">
                  <c:v>W262</c:v>
                </c:pt>
                <c:pt idx="263">
                  <c:v>W263</c:v>
                </c:pt>
                <c:pt idx="264">
                  <c:v>W264</c:v>
                </c:pt>
                <c:pt idx="265">
                  <c:v>W265</c:v>
                </c:pt>
                <c:pt idx="266">
                  <c:v>W266</c:v>
                </c:pt>
                <c:pt idx="267">
                  <c:v>W267</c:v>
                </c:pt>
                <c:pt idx="268">
                  <c:v>W268</c:v>
                </c:pt>
                <c:pt idx="269">
                  <c:v>W269</c:v>
                </c:pt>
                <c:pt idx="270">
                  <c:v>W270</c:v>
                </c:pt>
                <c:pt idx="271">
                  <c:v>W271</c:v>
                </c:pt>
                <c:pt idx="272">
                  <c:v>W272</c:v>
                </c:pt>
                <c:pt idx="273">
                  <c:v>W273</c:v>
                </c:pt>
                <c:pt idx="274">
                  <c:v>W274</c:v>
                </c:pt>
                <c:pt idx="275">
                  <c:v>W275</c:v>
                </c:pt>
                <c:pt idx="276">
                  <c:v>W276</c:v>
                </c:pt>
                <c:pt idx="277">
                  <c:v>W277</c:v>
                </c:pt>
                <c:pt idx="278">
                  <c:v>W278</c:v>
                </c:pt>
                <c:pt idx="279">
                  <c:v>W279</c:v>
                </c:pt>
                <c:pt idx="280">
                  <c:v>W280</c:v>
                </c:pt>
                <c:pt idx="281">
                  <c:v>W281</c:v>
                </c:pt>
                <c:pt idx="282">
                  <c:v>W282</c:v>
                </c:pt>
                <c:pt idx="283">
                  <c:v>W283</c:v>
                </c:pt>
                <c:pt idx="284">
                  <c:v>W284</c:v>
                </c:pt>
                <c:pt idx="285">
                  <c:v>W285</c:v>
                </c:pt>
                <c:pt idx="286">
                  <c:v>W286</c:v>
                </c:pt>
                <c:pt idx="287">
                  <c:v>W287</c:v>
                </c:pt>
                <c:pt idx="288">
                  <c:v>W288</c:v>
                </c:pt>
                <c:pt idx="289">
                  <c:v>W289</c:v>
                </c:pt>
                <c:pt idx="290">
                  <c:v>W290</c:v>
                </c:pt>
                <c:pt idx="291">
                  <c:v>W291</c:v>
                </c:pt>
                <c:pt idx="292">
                  <c:v>W292</c:v>
                </c:pt>
                <c:pt idx="293">
                  <c:v>W293</c:v>
                </c:pt>
                <c:pt idx="294">
                  <c:v>W294</c:v>
                </c:pt>
                <c:pt idx="295">
                  <c:v>W295</c:v>
                </c:pt>
                <c:pt idx="296">
                  <c:v>W296</c:v>
                </c:pt>
                <c:pt idx="297">
                  <c:v>W297</c:v>
                </c:pt>
                <c:pt idx="298">
                  <c:v>W298</c:v>
                </c:pt>
                <c:pt idx="299">
                  <c:v>W299</c:v>
                </c:pt>
                <c:pt idx="300">
                  <c:v>W300</c:v>
                </c:pt>
                <c:pt idx="301">
                  <c:v>W301</c:v>
                </c:pt>
                <c:pt idx="302">
                  <c:v>W302</c:v>
                </c:pt>
                <c:pt idx="303">
                  <c:v>W303</c:v>
                </c:pt>
                <c:pt idx="304">
                  <c:v>W304</c:v>
                </c:pt>
                <c:pt idx="305">
                  <c:v>W305</c:v>
                </c:pt>
                <c:pt idx="306">
                  <c:v>W306</c:v>
                </c:pt>
                <c:pt idx="307">
                  <c:v>W307</c:v>
                </c:pt>
                <c:pt idx="308">
                  <c:v>W308</c:v>
                </c:pt>
                <c:pt idx="309">
                  <c:v>W309</c:v>
                </c:pt>
                <c:pt idx="310">
                  <c:v>W310</c:v>
                </c:pt>
                <c:pt idx="311">
                  <c:v>W311</c:v>
                </c:pt>
                <c:pt idx="312">
                  <c:v>W312</c:v>
                </c:pt>
                <c:pt idx="313">
                  <c:v>W313</c:v>
                </c:pt>
                <c:pt idx="314">
                  <c:v>W314</c:v>
                </c:pt>
                <c:pt idx="315">
                  <c:v>W315</c:v>
                </c:pt>
                <c:pt idx="316">
                  <c:v>W316</c:v>
                </c:pt>
                <c:pt idx="317">
                  <c:v>W317</c:v>
                </c:pt>
                <c:pt idx="318">
                  <c:v>W318</c:v>
                </c:pt>
                <c:pt idx="319">
                  <c:v>W319</c:v>
                </c:pt>
                <c:pt idx="320">
                  <c:v>W320</c:v>
                </c:pt>
                <c:pt idx="321">
                  <c:v>W321</c:v>
                </c:pt>
                <c:pt idx="322">
                  <c:v>W322</c:v>
                </c:pt>
                <c:pt idx="323">
                  <c:v>W323</c:v>
                </c:pt>
                <c:pt idx="324">
                  <c:v>W324</c:v>
                </c:pt>
                <c:pt idx="325">
                  <c:v>W325</c:v>
                </c:pt>
                <c:pt idx="326">
                  <c:v>W326</c:v>
                </c:pt>
                <c:pt idx="327">
                  <c:v>W327</c:v>
                </c:pt>
                <c:pt idx="328">
                  <c:v>W328</c:v>
                </c:pt>
                <c:pt idx="329">
                  <c:v>W329</c:v>
                </c:pt>
                <c:pt idx="330">
                  <c:v>W330</c:v>
                </c:pt>
                <c:pt idx="331">
                  <c:v>W331</c:v>
                </c:pt>
                <c:pt idx="332">
                  <c:v>W332</c:v>
                </c:pt>
                <c:pt idx="333">
                  <c:v>W333</c:v>
                </c:pt>
                <c:pt idx="334">
                  <c:v>W334</c:v>
                </c:pt>
                <c:pt idx="335">
                  <c:v>W335</c:v>
                </c:pt>
                <c:pt idx="336">
                  <c:v>W336</c:v>
                </c:pt>
                <c:pt idx="337">
                  <c:v>W337</c:v>
                </c:pt>
                <c:pt idx="338">
                  <c:v>W338</c:v>
                </c:pt>
                <c:pt idx="339">
                  <c:v>W339</c:v>
                </c:pt>
                <c:pt idx="340">
                  <c:v>W340</c:v>
                </c:pt>
                <c:pt idx="341">
                  <c:v>W341</c:v>
                </c:pt>
                <c:pt idx="342">
                  <c:v>W342</c:v>
                </c:pt>
                <c:pt idx="343">
                  <c:v>W343</c:v>
                </c:pt>
                <c:pt idx="344">
                  <c:v>W344</c:v>
                </c:pt>
                <c:pt idx="345">
                  <c:v>W345</c:v>
                </c:pt>
                <c:pt idx="346">
                  <c:v>W346</c:v>
                </c:pt>
                <c:pt idx="347">
                  <c:v>W347</c:v>
                </c:pt>
                <c:pt idx="348">
                  <c:v>W348</c:v>
                </c:pt>
                <c:pt idx="349">
                  <c:v>W349</c:v>
                </c:pt>
                <c:pt idx="350">
                  <c:v>W350</c:v>
                </c:pt>
                <c:pt idx="351">
                  <c:v>W351</c:v>
                </c:pt>
                <c:pt idx="352">
                  <c:v>W352</c:v>
                </c:pt>
                <c:pt idx="353">
                  <c:v>W353</c:v>
                </c:pt>
                <c:pt idx="354">
                  <c:v>W354</c:v>
                </c:pt>
                <c:pt idx="355">
                  <c:v>W355</c:v>
                </c:pt>
                <c:pt idx="356">
                  <c:v>W356</c:v>
                </c:pt>
                <c:pt idx="357">
                  <c:v>W357</c:v>
                </c:pt>
                <c:pt idx="358">
                  <c:v>W358</c:v>
                </c:pt>
                <c:pt idx="359">
                  <c:v>W359</c:v>
                </c:pt>
                <c:pt idx="360">
                  <c:v>W360</c:v>
                </c:pt>
                <c:pt idx="361">
                  <c:v>W361</c:v>
                </c:pt>
                <c:pt idx="362">
                  <c:v>W362</c:v>
                </c:pt>
                <c:pt idx="363">
                  <c:v>W363</c:v>
                </c:pt>
                <c:pt idx="364">
                  <c:v>W364</c:v>
                </c:pt>
                <c:pt idx="365">
                  <c:v>W365</c:v>
                </c:pt>
                <c:pt idx="366">
                  <c:v>W366</c:v>
                </c:pt>
                <c:pt idx="367">
                  <c:v>W367</c:v>
                </c:pt>
                <c:pt idx="368">
                  <c:v>W368</c:v>
                </c:pt>
                <c:pt idx="369">
                  <c:v>W369</c:v>
                </c:pt>
                <c:pt idx="370">
                  <c:v>W370</c:v>
                </c:pt>
                <c:pt idx="371">
                  <c:v>W371</c:v>
                </c:pt>
                <c:pt idx="372">
                  <c:v>W372</c:v>
                </c:pt>
                <c:pt idx="373">
                  <c:v>W373</c:v>
                </c:pt>
                <c:pt idx="374">
                  <c:v>W374</c:v>
                </c:pt>
                <c:pt idx="375">
                  <c:v>W375</c:v>
                </c:pt>
                <c:pt idx="376">
                  <c:v>W376</c:v>
                </c:pt>
                <c:pt idx="377">
                  <c:v>W377</c:v>
                </c:pt>
                <c:pt idx="378">
                  <c:v>W378</c:v>
                </c:pt>
                <c:pt idx="379">
                  <c:v>W379</c:v>
                </c:pt>
                <c:pt idx="380">
                  <c:v>W380</c:v>
                </c:pt>
                <c:pt idx="381">
                  <c:v>W381</c:v>
                </c:pt>
                <c:pt idx="382">
                  <c:v>W382</c:v>
                </c:pt>
                <c:pt idx="383">
                  <c:v>W383</c:v>
                </c:pt>
                <c:pt idx="384">
                  <c:v>W384</c:v>
                </c:pt>
                <c:pt idx="385">
                  <c:v>W385</c:v>
                </c:pt>
                <c:pt idx="386">
                  <c:v>W386</c:v>
                </c:pt>
                <c:pt idx="387">
                  <c:v>W387</c:v>
                </c:pt>
                <c:pt idx="388">
                  <c:v>W388</c:v>
                </c:pt>
                <c:pt idx="389">
                  <c:v>W389</c:v>
                </c:pt>
                <c:pt idx="390">
                  <c:v>W390</c:v>
                </c:pt>
                <c:pt idx="391">
                  <c:v>W391</c:v>
                </c:pt>
                <c:pt idx="392">
                  <c:v>W392</c:v>
                </c:pt>
                <c:pt idx="393">
                  <c:v>W393</c:v>
                </c:pt>
                <c:pt idx="394">
                  <c:v>W394</c:v>
                </c:pt>
                <c:pt idx="395">
                  <c:v>W395</c:v>
                </c:pt>
                <c:pt idx="396">
                  <c:v>W396</c:v>
                </c:pt>
                <c:pt idx="397">
                  <c:v>W397</c:v>
                </c:pt>
                <c:pt idx="398">
                  <c:v>W398</c:v>
                </c:pt>
                <c:pt idx="399">
                  <c:v>W399</c:v>
                </c:pt>
                <c:pt idx="400">
                  <c:v>W400</c:v>
                </c:pt>
                <c:pt idx="401">
                  <c:v>W401</c:v>
                </c:pt>
                <c:pt idx="402">
                  <c:v>W402</c:v>
                </c:pt>
                <c:pt idx="403">
                  <c:v>W403</c:v>
                </c:pt>
                <c:pt idx="404">
                  <c:v>W404</c:v>
                </c:pt>
                <c:pt idx="405">
                  <c:v>W405</c:v>
                </c:pt>
                <c:pt idx="406">
                  <c:v>W406</c:v>
                </c:pt>
                <c:pt idx="407">
                  <c:v>W407</c:v>
                </c:pt>
                <c:pt idx="408">
                  <c:v>W408</c:v>
                </c:pt>
                <c:pt idx="409">
                  <c:v>W409</c:v>
                </c:pt>
                <c:pt idx="410">
                  <c:v>W410</c:v>
                </c:pt>
                <c:pt idx="411">
                  <c:v>W411</c:v>
                </c:pt>
                <c:pt idx="412">
                  <c:v>W412</c:v>
                </c:pt>
                <c:pt idx="413">
                  <c:v>W413</c:v>
                </c:pt>
                <c:pt idx="414">
                  <c:v>W414</c:v>
                </c:pt>
                <c:pt idx="415">
                  <c:v>W415</c:v>
                </c:pt>
                <c:pt idx="416">
                  <c:v>W416</c:v>
                </c:pt>
                <c:pt idx="417">
                  <c:v>W417</c:v>
                </c:pt>
                <c:pt idx="418">
                  <c:v>W418</c:v>
                </c:pt>
                <c:pt idx="419">
                  <c:v>W419</c:v>
                </c:pt>
                <c:pt idx="420">
                  <c:v>W420</c:v>
                </c:pt>
                <c:pt idx="421">
                  <c:v>W421</c:v>
                </c:pt>
                <c:pt idx="422">
                  <c:v>W422</c:v>
                </c:pt>
                <c:pt idx="423">
                  <c:v>W423</c:v>
                </c:pt>
                <c:pt idx="424">
                  <c:v>W424</c:v>
                </c:pt>
                <c:pt idx="425">
                  <c:v>W425</c:v>
                </c:pt>
                <c:pt idx="426">
                  <c:v>W426</c:v>
                </c:pt>
                <c:pt idx="427">
                  <c:v>W427</c:v>
                </c:pt>
                <c:pt idx="428">
                  <c:v>W428</c:v>
                </c:pt>
                <c:pt idx="429">
                  <c:v>W429</c:v>
                </c:pt>
                <c:pt idx="430">
                  <c:v>W430</c:v>
                </c:pt>
                <c:pt idx="431">
                  <c:v>W431</c:v>
                </c:pt>
                <c:pt idx="432">
                  <c:v>W432</c:v>
                </c:pt>
                <c:pt idx="433">
                  <c:v>W433</c:v>
                </c:pt>
                <c:pt idx="434">
                  <c:v>W434</c:v>
                </c:pt>
                <c:pt idx="435">
                  <c:v>W435</c:v>
                </c:pt>
                <c:pt idx="436">
                  <c:v>W436</c:v>
                </c:pt>
                <c:pt idx="437">
                  <c:v>W437</c:v>
                </c:pt>
                <c:pt idx="438">
                  <c:v>W438</c:v>
                </c:pt>
                <c:pt idx="439">
                  <c:v>W439</c:v>
                </c:pt>
                <c:pt idx="440">
                  <c:v>W440</c:v>
                </c:pt>
                <c:pt idx="441">
                  <c:v>W441</c:v>
                </c:pt>
                <c:pt idx="442">
                  <c:v>W442</c:v>
                </c:pt>
                <c:pt idx="443">
                  <c:v>W443</c:v>
                </c:pt>
                <c:pt idx="444">
                  <c:v>W444</c:v>
                </c:pt>
                <c:pt idx="445">
                  <c:v>W445</c:v>
                </c:pt>
                <c:pt idx="446">
                  <c:v>W446</c:v>
                </c:pt>
                <c:pt idx="447">
                  <c:v>W447</c:v>
                </c:pt>
                <c:pt idx="448">
                  <c:v>W448</c:v>
                </c:pt>
                <c:pt idx="449">
                  <c:v>W449</c:v>
                </c:pt>
                <c:pt idx="450">
                  <c:v>W450</c:v>
                </c:pt>
                <c:pt idx="451">
                  <c:v>W451</c:v>
                </c:pt>
                <c:pt idx="452">
                  <c:v>W452</c:v>
                </c:pt>
                <c:pt idx="453">
                  <c:v>W453</c:v>
                </c:pt>
                <c:pt idx="454">
                  <c:v>W454</c:v>
                </c:pt>
                <c:pt idx="455">
                  <c:v>W455</c:v>
                </c:pt>
                <c:pt idx="456">
                  <c:v>W456</c:v>
                </c:pt>
                <c:pt idx="457">
                  <c:v>W457</c:v>
                </c:pt>
                <c:pt idx="458">
                  <c:v>W458</c:v>
                </c:pt>
                <c:pt idx="459">
                  <c:v>W459</c:v>
                </c:pt>
                <c:pt idx="460">
                  <c:v>W460</c:v>
                </c:pt>
                <c:pt idx="461">
                  <c:v>W461</c:v>
                </c:pt>
                <c:pt idx="462">
                  <c:v>W462</c:v>
                </c:pt>
                <c:pt idx="463">
                  <c:v>W463</c:v>
                </c:pt>
                <c:pt idx="464">
                  <c:v>W464</c:v>
                </c:pt>
                <c:pt idx="465">
                  <c:v>W465</c:v>
                </c:pt>
                <c:pt idx="466">
                  <c:v>W466</c:v>
                </c:pt>
                <c:pt idx="467">
                  <c:v>W467</c:v>
                </c:pt>
                <c:pt idx="468">
                  <c:v>W468</c:v>
                </c:pt>
                <c:pt idx="469">
                  <c:v>W469</c:v>
                </c:pt>
                <c:pt idx="470">
                  <c:v>W470</c:v>
                </c:pt>
                <c:pt idx="471">
                  <c:v>W471</c:v>
                </c:pt>
                <c:pt idx="472">
                  <c:v>W472</c:v>
                </c:pt>
                <c:pt idx="473">
                  <c:v>W473</c:v>
                </c:pt>
                <c:pt idx="474">
                  <c:v>W474</c:v>
                </c:pt>
                <c:pt idx="475">
                  <c:v>W475</c:v>
                </c:pt>
                <c:pt idx="476">
                  <c:v>W476</c:v>
                </c:pt>
                <c:pt idx="477">
                  <c:v>W477</c:v>
                </c:pt>
                <c:pt idx="478">
                  <c:v>W478</c:v>
                </c:pt>
                <c:pt idx="479">
                  <c:v>W479</c:v>
                </c:pt>
                <c:pt idx="480">
                  <c:v>W480</c:v>
                </c:pt>
                <c:pt idx="481">
                  <c:v>W481</c:v>
                </c:pt>
                <c:pt idx="482">
                  <c:v>W482</c:v>
                </c:pt>
                <c:pt idx="483">
                  <c:v>W483</c:v>
                </c:pt>
                <c:pt idx="484">
                  <c:v>W484</c:v>
                </c:pt>
                <c:pt idx="485">
                  <c:v>W485</c:v>
                </c:pt>
                <c:pt idx="486">
                  <c:v>W486</c:v>
                </c:pt>
                <c:pt idx="487">
                  <c:v>W487</c:v>
                </c:pt>
                <c:pt idx="488">
                  <c:v>W488</c:v>
                </c:pt>
                <c:pt idx="489">
                  <c:v>W489</c:v>
                </c:pt>
                <c:pt idx="490">
                  <c:v>W490</c:v>
                </c:pt>
                <c:pt idx="491">
                  <c:v>W491</c:v>
                </c:pt>
                <c:pt idx="492">
                  <c:v>W492</c:v>
                </c:pt>
                <c:pt idx="493">
                  <c:v>W493</c:v>
                </c:pt>
                <c:pt idx="494">
                  <c:v>W494</c:v>
                </c:pt>
                <c:pt idx="495">
                  <c:v>W495</c:v>
                </c:pt>
                <c:pt idx="496">
                  <c:v>W496</c:v>
                </c:pt>
                <c:pt idx="497">
                  <c:v>W497</c:v>
                </c:pt>
                <c:pt idx="498">
                  <c:v>W498</c:v>
                </c:pt>
                <c:pt idx="499">
                  <c:v>W499</c:v>
                </c:pt>
                <c:pt idx="500">
                  <c:v>W500</c:v>
                </c:pt>
                <c:pt idx="501">
                  <c:v>W501</c:v>
                </c:pt>
                <c:pt idx="502">
                  <c:v>W502</c:v>
                </c:pt>
                <c:pt idx="503">
                  <c:v>W503</c:v>
                </c:pt>
                <c:pt idx="504">
                  <c:v>W504</c:v>
                </c:pt>
                <c:pt idx="505">
                  <c:v>W505</c:v>
                </c:pt>
                <c:pt idx="506">
                  <c:v>W506</c:v>
                </c:pt>
                <c:pt idx="507">
                  <c:v>W507</c:v>
                </c:pt>
                <c:pt idx="508">
                  <c:v>W508</c:v>
                </c:pt>
                <c:pt idx="509">
                  <c:v>W509</c:v>
                </c:pt>
                <c:pt idx="510">
                  <c:v>W510</c:v>
                </c:pt>
                <c:pt idx="511">
                  <c:v>W511</c:v>
                </c:pt>
                <c:pt idx="512">
                  <c:v>W512</c:v>
                </c:pt>
                <c:pt idx="513">
                  <c:v>W513</c:v>
                </c:pt>
                <c:pt idx="514">
                  <c:v>W514</c:v>
                </c:pt>
                <c:pt idx="515">
                  <c:v>W515</c:v>
                </c:pt>
                <c:pt idx="516">
                  <c:v>W516</c:v>
                </c:pt>
                <c:pt idx="517">
                  <c:v>W517</c:v>
                </c:pt>
                <c:pt idx="518">
                  <c:v>W518</c:v>
                </c:pt>
                <c:pt idx="519">
                  <c:v>W519</c:v>
                </c:pt>
                <c:pt idx="520">
                  <c:v>W520</c:v>
                </c:pt>
                <c:pt idx="521">
                  <c:v>W521</c:v>
                </c:pt>
                <c:pt idx="522">
                  <c:v>W522</c:v>
                </c:pt>
                <c:pt idx="523">
                  <c:v>W523</c:v>
                </c:pt>
                <c:pt idx="524">
                  <c:v>W524</c:v>
                </c:pt>
                <c:pt idx="525">
                  <c:v>W525</c:v>
                </c:pt>
                <c:pt idx="526">
                  <c:v>W526</c:v>
                </c:pt>
                <c:pt idx="527">
                  <c:v>W527</c:v>
                </c:pt>
                <c:pt idx="528">
                  <c:v>W528</c:v>
                </c:pt>
                <c:pt idx="529">
                  <c:v>W529</c:v>
                </c:pt>
                <c:pt idx="530">
                  <c:v>W530</c:v>
                </c:pt>
                <c:pt idx="531">
                  <c:v>W531</c:v>
                </c:pt>
                <c:pt idx="532">
                  <c:v>W532</c:v>
                </c:pt>
                <c:pt idx="533">
                  <c:v>W533</c:v>
                </c:pt>
                <c:pt idx="534">
                  <c:v>W534</c:v>
                </c:pt>
                <c:pt idx="535">
                  <c:v>W535</c:v>
                </c:pt>
                <c:pt idx="536">
                  <c:v>W536</c:v>
                </c:pt>
                <c:pt idx="537">
                  <c:v>W537</c:v>
                </c:pt>
                <c:pt idx="538">
                  <c:v>W538</c:v>
                </c:pt>
                <c:pt idx="539">
                  <c:v>W539</c:v>
                </c:pt>
                <c:pt idx="540">
                  <c:v>W540</c:v>
                </c:pt>
                <c:pt idx="541">
                  <c:v>W541</c:v>
                </c:pt>
                <c:pt idx="542">
                  <c:v>W542</c:v>
                </c:pt>
                <c:pt idx="543">
                  <c:v>W543</c:v>
                </c:pt>
                <c:pt idx="544">
                  <c:v>W544</c:v>
                </c:pt>
                <c:pt idx="545">
                  <c:v>W545</c:v>
                </c:pt>
                <c:pt idx="546">
                  <c:v>W546</c:v>
                </c:pt>
                <c:pt idx="547">
                  <c:v>W547</c:v>
                </c:pt>
                <c:pt idx="548">
                  <c:v>W548</c:v>
                </c:pt>
                <c:pt idx="549">
                  <c:v>W549</c:v>
                </c:pt>
                <c:pt idx="550">
                  <c:v>W550</c:v>
                </c:pt>
                <c:pt idx="551">
                  <c:v>W551</c:v>
                </c:pt>
                <c:pt idx="552">
                  <c:v>W552</c:v>
                </c:pt>
                <c:pt idx="553">
                  <c:v>W553</c:v>
                </c:pt>
                <c:pt idx="554">
                  <c:v>W554</c:v>
                </c:pt>
                <c:pt idx="555">
                  <c:v>W555</c:v>
                </c:pt>
                <c:pt idx="556">
                  <c:v>W556</c:v>
                </c:pt>
                <c:pt idx="557">
                  <c:v>W557</c:v>
                </c:pt>
                <c:pt idx="558">
                  <c:v>W558</c:v>
                </c:pt>
                <c:pt idx="559">
                  <c:v>W559</c:v>
                </c:pt>
                <c:pt idx="560">
                  <c:v>W560</c:v>
                </c:pt>
                <c:pt idx="561">
                  <c:v>W561</c:v>
                </c:pt>
                <c:pt idx="562">
                  <c:v>W562</c:v>
                </c:pt>
                <c:pt idx="563">
                  <c:v>W563</c:v>
                </c:pt>
                <c:pt idx="564">
                  <c:v>W564</c:v>
                </c:pt>
                <c:pt idx="565">
                  <c:v>W565</c:v>
                </c:pt>
                <c:pt idx="566">
                  <c:v>W566</c:v>
                </c:pt>
                <c:pt idx="567">
                  <c:v>W567</c:v>
                </c:pt>
                <c:pt idx="568">
                  <c:v>W568</c:v>
                </c:pt>
                <c:pt idx="569">
                  <c:v>W569</c:v>
                </c:pt>
                <c:pt idx="570">
                  <c:v>W570</c:v>
                </c:pt>
                <c:pt idx="571">
                  <c:v>W571</c:v>
                </c:pt>
                <c:pt idx="572">
                  <c:v>W572</c:v>
                </c:pt>
                <c:pt idx="573">
                  <c:v>W573</c:v>
                </c:pt>
                <c:pt idx="574">
                  <c:v>W574</c:v>
                </c:pt>
                <c:pt idx="575">
                  <c:v>W575</c:v>
                </c:pt>
                <c:pt idx="576">
                  <c:v>W576</c:v>
                </c:pt>
                <c:pt idx="577">
                  <c:v>W577</c:v>
                </c:pt>
                <c:pt idx="578">
                  <c:v>W578</c:v>
                </c:pt>
                <c:pt idx="579">
                  <c:v>W579</c:v>
                </c:pt>
                <c:pt idx="580">
                  <c:v>W580</c:v>
                </c:pt>
                <c:pt idx="581">
                  <c:v>W581</c:v>
                </c:pt>
                <c:pt idx="582">
                  <c:v>W582</c:v>
                </c:pt>
                <c:pt idx="583">
                  <c:v>W583</c:v>
                </c:pt>
                <c:pt idx="584">
                  <c:v>W584</c:v>
                </c:pt>
                <c:pt idx="585">
                  <c:v>W585</c:v>
                </c:pt>
                <c:pt idx="586">
                  <c:v>W586</c:v>
                </c:pt>
                <c:pt idx="587">
                  <c:v>W587</c:v>
                </c:pt>
                <c:pt idx="588">
                  <c:v>W588</c:v>
                </c:pt>
                <c:pt idx="589">
                  <c:v>W589</c:v>
                </c:pt>
                <c:pt idx="590">
                  <c:v>W590</c:v>
                </c:pt>
                <c:pt idx="591">
                  <c:v>W591</c:v>
                </c:pt>
                <c:pt idx="592">
                  <c:v>W592</c:v>
                </c:pt>
                <c:pt idx="593">
                  <c:v>W593</c:v>
                </c:pt>
                <c:pt idx="594">
                  <c:v>W594</c:v>
                </c:pt>
                <c:pt idx="595">
                  <c:v>W595</c:v>
                </c:pt>
                <c:pt idx="596">
                  <c:v>W596</c:v>
                </c:pt>
                <c:pt idx="597">
                  <c:v>W597</c:v>
                </c:pt>
                <c:pt idx="598">
                  <c:v>W598</c:v>
                </c:pt>
                <c:pt idx="599">
                  <c:v>W599</c:v>
                </c:pt>
                <c:pt idx="600">
                  <c:v>W600</c:v>
                </c:pt>
                <c:pt idx="601">
                  <c:v>W601</c:v>
                </c:pt>
                <c:pt idx="602">
                  <c:v>W602</c:v>
                </c:pt>
                <c:pt idx="603">
                  <c:v>W603</c:v>
                </c:pt>
                <c:pt idx="604">
                  <c:v>W604</c:v>
                </c:pt>
                <c:pt idx="605">
                  <c:v>W605</c:v>
                </c:pt>
                <c:pt idx="606">
                  <c:v>W606</c:v>
                </c:pt>
                <c:pt idx="607">
                  <c:v>W607</c:v>
                </c:pt>
                <c:pt idx="608">
                  <c:v>W608</c:v>
                </c:pt>
                <c:pt idx="609">
                  <c:v>W609</c:v>
                </c:pt>
                <c:pt idx="610">
                  <c:v>W610</c:v>
                </c:pt>
                <c:pt idx="611">
                  <c:v>W611</c:v>
                </c:pt>
                <c:pt idx="612">
                  <c:v>W612</c:v>
                </c:pt>
                <c:pt idx="613">
                  <c:v>W613</c:v>
                </c:pt>
                <c:pt idx="614">
                  <c:v>W614</c:v>
                </c:pt>
                <c:pt idx="615">
                  <c:v>W615</c:v>
                </c:pt>
                <c:pt idx="616">
                  <c:v>W616</c:v>
                </c:pt>
                <c:pt idx="617">
                  <c:v>W617</c:v>
                </c:pt>
                <c:pt idx="618">
                  <c:v>W618</c:v>
                </c:pt>
                <c:pt idx="619">
                  <c:v>W619</c:v>
                </c:pt>
                <c:pt idx="620">
                  <c:v>W620</c:v>
                </c:pt>
                <c:pt idx="621">
                  <c:v>W621</c:v>
                </c:pt>
                <c:pt idx="622">
                  <c:v>W622</c:v>
                </c:pt>
                <c:pt idx="623">
                  <c:v>W623</c:v>
                </c:pt>
                <c:pt idx="624">
                  <c:v>W624</c:v>
                </c:pt>
                <c:pt idx="625">
                  <c:v>W625</c:v>
                </c:pt>
                <c:pt idx="626">
                  <c:v>W626</c:v>
                </c:pt>
                <c:pt idx="627">
                  <c:v>W627</c:v>
                </c:pt>
                <c:pt idx="628">
                  <c:v>W628</c:v>
                </c:pt>
                <c:pt idx="629">
                  <c:v>W629</c:v>
                </c:pt>
                <c:pt idx="630">
                  <c:v>W630</c:v>
                </c:pt>
                <c:pt idx="631">
                  <c:v>W631</c:v>
                </c:pt>
                <c:pt idx="632">
                  <c:v>W632</c:v>
                </c:pt>
                <c:pt idx="633">
                  <c:v>W633</c:v>
                </c:pt>
              </c:strCache>
            </c:strRef>
          </c:cat>
          <c:val>
            <c:numRef>
              <c:f>'Token Releasing Plan'!$D$17:$D$650</c:f>
              <c:numCache>
                <c:formatCode>_(* #,##0.00_);_(* \(#,##0.00\);_(* "-"??_);_(@_)</c:formatCode>
                <c:ptCount val="634"/>
                <c:pt idx="0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9E-471E-8963-96354D0D5BB0}"/>
            </c:ext>
          </c:extLst>
        </c:ser>
        <c:ser>
          <c:idx val="3"/>
          <c:order val="3"/>
          <c:tx>
            <c:strRef>
              <c:f>'Token Releasing Plan'!$E$16</c:f>
              <c:strCache>
                <c:ptCount val="1"/>
                <c:pt idx="0">
                  <c:v>DAO Reserve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'Token Releasing Plan'!$A$17:$A$650</c:f>
              <c:strCache>
                <c:ptCount val="634"/>
                <c:pt idx="0">
                  <c:v>W0 - Pilot Show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  <c:pt idx="9">
                  <c:v>W9</c:v>
                </c:pt>
                <c:pt idx="10">
                  <c:v>W10</c:v>
                </c:pt>
                <c:pt idx="11">
                  <c:v>W11</c:v>
                </c:pt>
                <c:pt idx="12">
                  <c:v>W12</c:v>
                </c:pt>
                <c:pt idx="13">
                  <c:v>W13</c:v>
                </c:pt>
                <c:pt idx="14">
                  <c:v>W14</c:v>
                </c:pt>
                <c:pt idx="15">
                  <c:v>W15</c:v>
                </c:pt>
                <c:pt idx="16">
                  <c:v>W16</c:v>
                </c:pt>
                <c:pt idx="17">
                  <c:v>W17</c:v>
                </c:pt>
                <c:pt idx="18">
                  <c:v>W18</c:v>
                </c:pt>
                <c:pt idx="19">
                  <c:v>W19</c:v>
                </c:pt>
                <c:pt idx="20">
                  <c:v>W20</c:v>
                </c:pt>
                <c:pt idx="21">
                  <c:v>W21</c:v>
                </c:pt>
                <c:pt idx="22">
                  <c:v>W22</c:v>
                </c:pt>
                <c:pt idx="23">
                  <c:v>W23</c:v>
                </c:pt>
                <c:pt idx="24">
                  <c:v>W24</c:v>
                </c:pt>
                <c:pt idx="25">
                  <c:v>W25</c:v>
                </c:pt>
                <c:pt idx="26">
                  <c:v>W26</c:v>
                </c:pt>
                <c:pt idx="27">
                  <c:v>W27</c:v>
                </c:pt>
                <c:pt idx="28">
                  <c:v>W28</c:v>
                </c:pt>
                <c:pt idx="29">
                  <c:v>W29</c:v>
                </c:pt>
                <c:pt idx="30">
                  <c:v>W30</c:v>
                </c:pt>
                <c:pt idx="31">
                  <c:v>W31</c:v>
                </c:pt>
                <c:pt idx="32">
                  <c:v>W32</c:v>
                </c:pt>
                <c:pt idx="33">
                  <c:v>W33</c:v>
                </c:pt>
                <c:pt idx="34">
                  <c:v>W34</c:v>
                </c:pt>
                <c:pt idx="35">
                  <c:v>W35</c:v>
                </c:pt>
                <c:pt idx="36">
                  <c:v>W36</c:v>
                </c:pt>
                <c:pt idx="37">
                  <c:v>W37</c:v>
                </c:pt>
                <c:pt idx="38">
                  <c:v>W38</c:v>
                </c:pt>
                <c:pt idx="39">
                  <c:v>W39</c:v>
                </c:pt>
                <c:pt idx="40">
                  <c:v>W40</c:v>
                </c:pt>
                <c:pt idx="41">
                  <c:v>W41</c:v>
                </c:pt>
                <c:pt idx="42">
                  <c:v>W42</c:v>
                </c:pt>
                <c:pt idx="43">
                  <c:v>W43</c:v>
                </c:pt>
                <c:pt idx="44">
                  <c:v>W44</c:v>
                </c:pt>
                <c:pt idx="45">
                  <c:v>W45</c:v>
                </c:pt>
                <c:pt idx="46">
                  <c:v>W46</c:v>
                </c:pt>
                <c:pt idx="47">
                  <c:v>W47</c:v>
                </c:pt>
                <c:pt idx="48">
                  <c:v>W48</c:v>
                </c:pt>
                <c:pt idx="49">
                  <c:v>W49</c:v>
                </c:pt>
                <c:pt idx="50">
                  <c:v>W50</c:v>
                </c:pt>
                <c:pt idx="51">
                  <c:v>W51</c:v>
                </c:pt>
                <c:pt idx="52">
                  <c:v>W52</c:v>
                </c:pt>
                <c:pt idx="53">
                  <c:v>W53</c:v>
                </c:pt>
                <c:pt idx="54">
                  <c:v>W54</c:v>
                </c:pt>
                <c:pt idx="55">
                  <c:v>W55</c:v>
                </c:pt>
                <c:pt idx="56">
                  <c:v>W56</c:v>
                </c:pt>
                <c:pt idx="57">
                  <c:v>W57</c:v>
                </c:pt>
                <c:pt idx="58">
                  <c:v>W58</c:v>
                </c:pt>
                <c:pt idx="59">
                  <c:v>W59</c:v>
                </c:pt>
                <c:pt idx="60">
                  <c:v>W60</c:v>
                </c:pt>
                <c:pt idx="61">
                  <c:v>W61</c:v>
                </c:pt>
                <c:pt idx="62">
                  <c:v>W62</c:v>
                </c:pt>
                <c:pt idx="63">
                  <c:v>W63</c:v>
                </c:pt>
                <c:pt idx="64">
                  <c:v>W64</c:v>
                </c:pt>
                <c:pt idx="65">
                  <c:v>W65</c:v>
                </c:pt>
                <c:pt idx="66">
                  <c:v>W66</c:v>
                </c:pt>
                <c:pt idx="67">
                  <c:v>W67</c:v>
                </c:pt>
                <c:pt idx="68">
                  <c:v>W68</c:v>
                </c:pt>
                <c:pt idx="69">
                  <c:v>W69</c:v>
                </c:pt>
                <c:pt idx="70">
                  <c:v>W70</c:v>
                </c:pt>
                <c:pt idx="71">
                  <c:v>W71</c:v>
                </c:pt>
                <c:pt idx="72">
                  <c:v>W72</c:v>
                </c:pt>
                <c:pt idx="73">
                  <c:v>W73</c:v>
                </c:pt>
                <c:pt idx="74">
                  <c:v>W74</c:v>
                </c:pt>
                <c:pt idx="75">
                  <c:v>W75</c:v>
                </c:pt>
                <c:pt idx="76">
                  <c:v>W76</c:v>
                </c:pt>
                <c:pt idx="77">
                  <c:v>W77</c:v>
                </c:pt>
                <c:pt idx="78">
                  <c:v>W78</c:v>
                </c:pt>
                <c:pt idx="79">
                  <c:v>W79</c:v>
                </c:pt>
                <c:pt idx="80">
                  <c:v>W80</c:v>
                </c:pt>
                <c:pt idx="81">
                  <c:v>W81</c:v>
                </c:pt>
                <c:pt idx="82">
                  <c:v>W82</c:v>
                </c:pt>
                <c:pt idx="83">
                  <c:v>W83</c:v>
                </c:pt>
                <c:pt idx="84">
                  <c:v>W84</c:v>
                </c:pt>
                <c:pt idx="85">
                  <c:v>W85</c:v>
                </c:pt>
                <c:pt idx="86">
                  <c:v>W86</c:v>
                </c:pt>
                <c:pt idx="87">
                  <c:v>W87</c:v>
                </c:pt>
                <c:pt idx="88">
                  <c:v>W88</c:v>
                </c:pt>
                <c:pt idx="89">
                  <c:v>W89</c:v>
                </c:pt>
                <c:pt idx="90">
                  <c:v>W90</c:v>
                </c:pt>
                <c:pt idx="91">
                  <c:v>W91</c:v>
                </c:pt>
                <c:pt idx="92">
                  <c:v>W92</c:v>
                </c:pt>
                <c:pt idx="93">
                  <c:v>W93</c:v>
                </c:pt>
                <c:pt idx="94">
                  <c:v>W94</c:v>
                </c:pt>
                <c:pt idx="95">
                  <c:v>W95</c:v>
                </c:pt>
                <c:pt idx="96">
                  <c:v>W96</c:v>
                </c:pt>
                <c:pt idx="97">
                  <c:v>W97</c:v>
                </c:pt>
                <c:pt idx="98">
                  <c:v>W98</c:v>
                </c:pt>
                <c:pt idx="99">
                  <c:v>W99</c:v>
                </c:pt>
                <c:pt idx="100">
                  <c:v>W100</c:v>
                </c:pt>
                <c:pt idx="101">
                  <c:v>W101</c:v>
                </c:pt>
                <c:pt idx="102">
                  <c:v>W102</c:v>
                </c:pt>
                <c:pt idx="103">
                  <c:v>W103</c:v>
                </c:pt>
                <c:pt idx="104">
                  <c:v>W104</c:v>
                </c:pt>
                <c:pt idx="105">
                  <c:v>W105</c:v>
                </c:pt>
                <c:pt idx="106">
                  <c:v>W106</c:v>
                </c:pt>
                <c:pt idx="107">
                  <c:v>W107</c:v>
                </c:pt>
                <c:pt idx="108">
                  <c:v>W108</c:v>
                </c:pt>
                <c:pt idx="109">
                  <c:v>W109</c:v>
                </c:pt>
                <c:pt idx="110">
                  <c:v>W110</c:v>
                </c:pt>
                <c:pt idx="111">
                  <c:v>W111</c:v>
                </c:pt>
                <c:pt idx="112">
                  <c:v>W112</c:v>
                </c:pt>
                <c:pt idx="113">
                  <c:v>W113</c:v>
                </c:pt>
                <c:pt idx="114">
                  <c:v>W114</c:v>
                </c:pt>
                <c:pt idx="115">
                  <c:v>W115</c:v>
                </c:pt>
                <c:pt idx="116">
                  <c:v>W116</c:v>
                </c:pt>
                <c:pt idx="117">
                  <c:v>W117</c:v>
                </c:pt>
                <c:pt idx="118">
                  <c:v>W118</c:v>
                </c:pt>
                <c:pt idx="119">
                  <c:v>W119</c:v>
                </c:pt>
                <c:pt idx="120">
                  <c:v>W120</c:v>
                </c:pt>
                <c:pt idx="121">
                  <c:v>W121</c:v>
                </c:pt>
                <c:pt idx="122">
                  <c:v>W122</c:v>
                </c:pt>
                <c:pt idx="123">
                  <c:v>W123</c:v>
                </c:pt>
                <c:pt idx="124">
                  <c:v>W124</c:v>
                </c:pt>
                <c:pt idx="125">
                  <c:v>W125</c:v>
                </c:pt>
                <c:pt idx="126">
                  <c:v>W126</c:v>
                </c:pt>
                <c:pt idx="127">
                  <c:v>W127</c:v>
                </c:pt>
                <c:pt idx="128">
                  <c:v>W128</c:v>
                </c:pt>
                <c:pt idx="129">
                  <c:v>W129</c:v>
                </c:pt>
                <c:pt idx="130">
                  <c:v>W130</c:v>
                </c:pt>
                <c:pt idx="131">
                  <c:v>W131</c:v>
                </c:pt>
                <c:pt idx="132">
                  <c:v>W132</c:v>
                </c:pt>
                <c:pt idx="133">
                  <c:v>W133</c:v>
                </c:pt>
                <c:pt idx="134">
                  <c:v>W134</c:v>
                </c:pt>
                <c:pt idx="135">
                  <c:v>W135</c:v>
                </c:pt>
                <c:pt idx="136">
                  <c:v>W136</c:v>
                </c:pt>
                <c:pt idx="137">
                  <c:v>W137</c:v>
                </c:pt>
                <c:pt idx="138">
                  <c:v>W138</c:v>
                </c:pt>
                <c:pt idx="139">
                  <c:v>W139</c:v>
                </c:pt>
                <c:pt idx="140">
                  <c:v>W140</c:v>
                </c:pt>
                <c:pt idx="141">
                  <c:v>W141</c:v>
                </c:pt>
                <c:pt idx="142">
                  <c:v>W142</c:v>
                </c:pt>
                <c:pt idx="143">
                  <c:v>W143</c:v>
                </c:pt>
                <c:pt idx="144">
                  <c:v>W144</c:v>
                </c:pt>
                <c:pt idx="145">
                  <c:v>W145</c:v>
                </c:pt>
                <c:pt idx="146">
                  <c:v>W146</c:v>
                </c:pt>
                <c:pt idx="147">
                  <c:v>W147</c:v>
                </c:pt>
                <c:pt idx="148">
                  <c:v>W148</c:v>
                </c:pt>
                <c:pt idx="149">
                  <c:v>W149</c:v>
                </c:pt>
                <c:pt idx="150">
                  <c:v>W150</c:v>
                </c:pt>
                <c:pt idx="151">
                  <c:v>W151</c:v>
                </c:pt>
                <c:pt idx="152">
                  <c:v>W152</c:v>
                </c:pt>
                <c:pt idx="153">
                  <c:v>W153</c:v>
                </c:pt>
                <c:pt idx="154">
                  <c:v>W154</c:v>
                </c:pt>
                <c:pt idx="155">
                  <c:v>W155</c:v>
                </c:pt>
                <c:pt idx="156">
                  <c:v>W156</c:v>
                </c:pt>
                <c:pt idx="157">
                  <c:v>W157</c:v>
                </c:pt>
                <c:pt idx="158">
                  <c:v>W158</c:v>
                </c:pt>
                <c:pt idx="159">
                  <c:v>W159</c:v>
                </c:pt>
                <c:pt idx="160">
                  <c:v>W160</c:v>
                </c:pt>
                <c:pt idx="161">
                  <c:v>W161</c:v>
                </c:pt>
                <c:pt idx="162">
                  <c:v>W162</c:v>
                </c:pt>
                <c:pt idx="163">
                  <c:v>W163</c:v>
                </c:pt>
                <c:pt idx="164">
                  <c:v>W164</c:v>
                </c:pt>
                <c:pt idx="165">
                  <c:v>W165</c:v>
                </c:pt>
                <c:pt idx="166">
                  <c:v>W166</c:v>
                </c:pt>
                <c:pt idx="167">
                  <c:v>W167</c:v>
                </c:pt>
                <c:pt idx="168">
                  <c:v>W168</c:v>
                </c:pt>
                <c:pt idx="169">
                  <c:v>W169</c:v>
                </c:pt>
                <c:pt idx="170">
                  <c:v>W170</c:v>
                </c:pt>
                <c:pt idx="171">
                  <c:v>W171</c:v>
                </c:pt>
                <c:pt idx="172">
                  <c:v>W172</c:v>
                </c:pt>
                <c:pt idx="173">
                  <c:v>W173</c:v>
                </c:pt>
                <c:pt idx="174">
                  <c:v>W174</c:v>
                </c:pt>
                <c:pt idx="175">
                  <c:v>W175</c:v>
                </c:pt>
                <c:pt idx="176">
                  <c:v>W176</c:v>
                </c:pt>
                <c:pt idx="177">
                  <c:v>W177</c:v>
                </c:pt>
                <c:pt idx="178">
                  <c:v>W178</c:v>
                </c:pt>
                <c:pt idx="179">
                  <c:v>W179</c:v>
                </c:pt>
                <c:pt idx="180">
                  <c:v>W180</c:v>
                </c:pt>
                <c:pt idx="181">
                  <c:v>W181</c:v>
                </c:pt>
                <c:pt idx="182">
                  <c:v>W182</c:v>
                </c:pt>
                <c:pt idx="183">
                  <c:v>W183</c:v>
                </c:pt>
                <c:pt idx="184">
                  <c:v>W184</c:v>
                </c:pt>
                <c:pt idx="185">
                  <c:v>W185</c:v>
                </c:pt>
                <c:pt idx="186">
                  <c:v>W186</c:v>
                </c:pt>
                <c:pt idx="187">
                  <c:v>W187</c:v>
                </c:pt>
                <c:pt idx="188">
                  <c:v>W188</c:v>
                </c:pt>
                <c:pt idx="189">
                  <c:v>W189</c:v>
                </c:pt>
                <c:pt idx="190">
                  <c:v>W190</c:v>
                </c:pt>
                <c:pt idx="191">
                  <c:v>W191</c:v>
                </c:pt>
                <c:pt idx="192">
                  <c:v>W192</c:v>
                </c:pt>
                <c:pt idx="193">
                  <c:v>W193</c:v>
                </c:pt>
                <c:pt idx="194">
                  <c:v>W194</c:v>
                </c:pt>
                <c:pt idx="195">
                  <c:v>W195</c:v>
                </c:pt>
                <c:pt idx="196">
                  <c:v>W196</c:v>
                </c:pt>
                <c:pt idx="197">
                  <c:v>W197</c:v>
                </c:pt>
                <c:pt idx="198">
                  <c:v>W198</c:v>
                </c:pt>
                <c:pt idx="199">
                  <c:v>W199</c:v>
                </c:pt>
                <c:pt idx="200">
                  <c:v>W200</c:v>
                </c:pt>
                <c:pt idx="201">
                  <c:v>W201</c:v>
                </c:pt>
                <c:pt idx="202">
                  <c:v>W202</c:v>
                </c:pt>
                <c:pt idx="203">
                  <c:v>W203</c:v>
                </c:pt>
                <c:pt idx="204">
                  <c:v>W204</c:v>
                </c:pt>
                <c:pt idx="205">
                  <c:v>W205</c:v>
                </c:pt>
                <c:pt idx="206">
                  <c:v>W206</c:v>
                </c:pt>
                <c:pt idx="207">
                  <c:v>W207</c:v>
                </c:pt>
                <c:pt idx="208">
                  <c:v>W208</c:v>
                </c:pt>
                <c:pt idx="209">
                  <c:v>W209</c:v>
                </c:pt>
                <c:pt idx="210">
                  <c:v>W210</c:v>
                </c:pt>
                <c:pt idx="211">
                  <c:v>W211</c:v>
                </c:pt>
                <c:pt idx="212">
                  <c:v>W212</c:v>
                </c:pt>
                <c:pt idx="213">
                  <c:v>W213</c:v>
                </c:pt>
                <c:pt idx="214">
                  <c:v>W214</c:v>
                </c:pt>
                <c:pt idx="215">
                  <c:v>W215</c:v>
                </c:pt>
                <c:pt idx="216">
                  <c:v>W216</c:v>
                </c:pt>
                <c:pt idx="217">
                  <c:v>W217</c:v>
                </c:pt>
                <c:pt idx="218">
                  <c:v>W218</c:v>
                </c:pt>
                <c:pt idx="219">
                  <c:v>W219</c:v>
                </c:pt>
                <c:pt idx="220">
                  <c:v>W220</c:v>
                </c:pt>
                <c:pt idx="221">
                  <c:v>W221</c:v>
                </c:pt>
                <c:pt idx="222">
                  <c:v>W222</c:v>
                </c:pt>
                <c:pt idx="223">
                  <c:v>W223</c:v>
                </c:pt>
                <c:pt idx="224">
                  <c:v>W224</c:v>
                </c:pt>
                <c:pt idx="225">
                  <c:v>W225</c:v>
                </c:pt>
                <c:pt idx="226">
                  <c:v>W226</c:v>
                </c:pt>
                <c:pt idx="227">
                  <c:v>W227</c:v>
                </c:pt>
                <c:pt idx="228">
                  <c:v>W228</c:v>
                </c:pt>
                <c:pt idx="229">
                  <c:v>W229</c:v>
                </c:pt>
                <c:pt idx="230">
                  <c:v>W230</c:v>
                </c:pt>
                <c:pt idx="231">
                  <c:v>W231</c:v>
                </c:pt>
                <c:pt idx="232">
                  <c:v>W232</c:v>
                </c:pt>
                <c:pt idx="233">
                  <c:v>W233</c:v>
                </c:pt>
                <c:pt idx="234">
                  <c:v>W234</c:v>
                </c:pt>
                <c:pt idx="235">
                  <c:v>W235</c:v>
                </c:pt>
                <c:pt idx="236">
                  <c:v>W236</c:v>
                </c:pt>
                <c:pt idx="237">
                  <c:v>W237</c:v>
                </c:pt>
                <c:pt idx="238">
                  <c:v>W238</c:v>
                </c:pt>
                <c:pt idx="239">
                  <c:v>W239</c:v>
                </c:pt>
                <c:pt idx="240">
                  <c:v>W240</c:v>
                </c:pt>
                <c:pt idx="241">
                  <c:v>W241</c:v>
                </c:pt>
                <c:pt idx="242">
                  <c:v>W242</c:v>
                </c:pt>
                <c:pt idx="243">
                  <c:v>W243</c:v>
                </c:pt>
                <c:pt idx="244">
                  <c:v>W244</c:v>
                </c:pt>
                <c:pt idx="245">
                  <c:v>W245</c:v>
                </c:pt>
                <c:pt idx="246">
                  <c:v>W246</c:v>
                </c:pt>
                <c:pt idx="247">
                  <c:v>W247</c:v>
                </c:pt>
                <c:pt idx="248">
                  <c:v>W248</c:v>
                </c:pt>
                <c:pt idx="249">
                  <c:v>W249</c:v>
                </c:pt>
                <c:pt idx="250">
                  <c:v>W250</c:v>
                </c:pt>
                <c:pt idx="251">
                  <c:v>W251</c:v>
                </c:pt>
                <c:pt idx="252">
                  <c:v>W252</c:v>
                </c:pt>
                <c:pt idx="253">
                  <c:v>W253</c:v>
                </c:pt>
                <c:pt idx="254">
                  <c:v>W254</c:v>
                </c:pt>
                <c:pt idx="255">
                  <c:v>W255</c:v>
                </c:pt>
                <c:pt idx="256">
                  <c:v>W256</c:v>
                </c:pt>
                <c:pt idx="257">
                  <c:v>W257</c:v>
                </c:pt>
                <c:pt idx="258">
                  <c:v>W258</c:v>
                </c:pt>
                <c:pt idx="259">
                  <c:v>W259</c:v>
                </c:pt>
                <c:pt idx="260">
                  <c:v>W260</c:v>
                </c:pt>
                <c:pt idx="261">
                  <c:v>W261</c:v>
                </c:pt>
                <c:pt idx="262">
                  <c:v>W262</c:v>
                </c:pt>
                <c:pt idx="263">
                  <c:v>W263</c:v>
                </c:pt>
                <c:pt idx="264">
                  <c:v>W264</c:v>
                </c:pt>
                <c:pt idx="265">
                  <c:v>W265</c:v>
                </c:pt>
                <c:pt idx="266">
                  <c:v>W266</c:v>
                </c:pt>
                <c:pt idx="267">
                  <c:v>W267</c:v>
                </c:pt>
                <c:pt idx="268">
                  <c:v>W268</c:v>
                </c:pt>
                <c:pt idx="269">
                  <c:v>W269</c:v>
                </c:pt>
                <c:pt idx="270">
                  <c:v>W270</c:v>
                </c:pt>
                <c:pt idx="271">
                  <c:v>W271</c:v>
                </c:pt>
                <c:pt idx="272">
                  <c:v>W272</c:v>
                </c:pt>
                <c:pt idx="273">
                  <c:v>W273</c:v>
                </c:pt>
                <c:pt idx="274">
                  <c:v>W274</c:v>
                </c:pt>
                <c:pt idx="275">
                  <c:v>W275</c:v>
                </c:pt>
                <c:pt idx="276">
                  <c:v>W276</c:v>
                </c:pt>
                <c:pt idx="277">
                  <c:v>W277</c:v>
                </c:pt>
                <c:pt idx="278">
                  <c:v>W278</c:v>
                </c:pt>
                <c:pt idx="279">
                  <c:v>W279</c:v>
                </c:pt>
                <c:pt idx="280">
                  <c:v>W280</c:v>
                </c:pt>
                <c:pt idx="281">
                  <c:v>W281</c:v>
                </c:pt>
                <c:pt idx="282">
                  <c:v>W282</c:v>
                </c:pt>
                <c:pt idx="283">
                  <c:v>W283</c:v>
                </c:pt>
                <c:pt idx="284">
                  <c:v>W284</c:v>
                </c:pt>
                <c:pt idx="285">
                  <c:v>W285</c:v>
                </c:pt>
                <c:pt idx="286">
                  <c:v>W286</c:v>
                </c:pt>
                <c:pt idx="287">
                  <c:v>W287</c:v>
                </c:pt>
                <c:pt idx="288">
                  <c:v>W288</c:v>
                </c:pt>
                <c:pt idx="289">
                  <c:v>W289</c:v>
                </c:pt>
                <c:pt idx="290">
                  <c:v>W290</c:v>
                </c:pt>
                <c:pt idx="291">
                  <c:v>W291</c:v>
                </c:pt>
                <c:pt idx="292">
                  <c:v>W292</c:v>
                </c:pt>
                <c:pt idx="293">
                  <c:v>W293</c:v>
                </c:pt>
                <c:pt idx="294">
                  <c:v>W294</c:v>
                </c:pt>
                <c:pt idx="295">
                  <c:v>W295</c:v>
                </c:pt>
                <c:pt idx="296">
                  <c:v>W296</c:v>
                </c:pt>
                <c:pt idx="297">
                  <c:v>W297</c:v>
                </c:pt>
                <c:pt idx="298">
                  <c:v>W298</c:v>
                </c:pt>
                <c:pt idx="299">
                  <c:v>W299</c:v>
                </c:pt>
                <c:pt idx="300">
                  <c:v>W300</c:v>
                </c:pt>
                <c:pt idx="301">
                  <c:v>W301</c:v>
                </c:pt>
                <c:pt idx="302">
                  <c:v>W302</c:v>
                </c:pt>
                <c:pt idx="303">
                  <c:v>W303</c:v>
                </c:pt>
                <c:pt idx="304">
                  <c:v>W304</c:v>
                </c:pt>
                <c:pt idx="305">
                  <c:v>W305</c:v>
                </c:pt>
                <c:pt idx="306">
                  <c:v>W306</c:v>
                </c:pt>
                <c:pt idx="307">
                  <c:v>W307</c:v>
                </c:pt>
                <c:pt idx="308">
                  <c:v>W308</c:v>
                </c:pt>
                <c:pt idx="309">
                  <c:v>W309</c:v>
                </c:pt>
                <c:pt idx="310">
                  <c:v>W310</c:v>
                </c:pt>
                <c:pt idx="311">
                  <c:v>W311</c:v>
                </c:pt>
                <c:pt idx="312">
                  <c:v>W312</c:v>
                </c:pt>
                <c:pt idx="313">
                  <c:v>W313</c:v>
                </c:pt>
                <c:pt idx="314">
                  <c:v>W314</c:v>
                </c:pt>
                <c:pt idx="315">
                  <c:v>W315</c:v>
                </c:pt>
                <c:pt idx="316">
                  <c:v>W316</c:v>
                </c:pt>
                <c:pt idx="317">
                  <c:v>W317</c:v>
                </c:pt>
                <c:pt idx="318">
                  <c:v>W318</c:v>
                </c:pt>
                <c:pt idx="319">
                  <c:v>W319</c:v>
                </c:pt>
                <c:pt idx="320">
                  <c:v>W320</c:v>
                </c:pt>
                <c:pt idx="321">
                  <c:v>W321</c:v>
                </c:pt>
                <c:pt idx="322">
                  <c:v>W322</c:v>
                </c:pt>
                <c:pt idx="323">
                  <c:v>W323</c:v>
                </c:pt>
                <c:pt idx="324">
                  <c:v>W324</c:v>
                </c:pt>
                <c:pt idx="325">
                  <c:v>W325</c:v>
                </c:pt>
                <c:pt idx="326">
                  <c:v>W326</c:v>
                </c:pt>
                <c:pt idx="327">
                  <c:v>W327</c:v>
                </c:pt>
                <c:pt idx="328">
                  <c:v>W328</c:v>
                </c:pt>
                <c:pt idx="329">
                  <c:v>W329</c:v>
                </c:pt>
                <c:pt idx="330">
                  <c:v>W330</c:v>
                </c:pt>
                <c:pt idx="331">
                  <c:v>W331</c:v>
                </c:pt>
                <c:pt idx="332">
                  <c:v>W332</c:v>
                </c:pt>
                <c:pt idx="333">
                  <c:v>W333</c:v>
                </c:pt>
                <c:pt idx="334">
                  <c:v>W334</c:v>
                </c:pt>
                <c:pt idx="335">
                  <c:v>W335</c:v>
                </c:pt>
                <c:pt idx="336">
                  <c:v>W336</c:v>
                </c:pt>
                <c:pt idx="337">
                  <c:v>W337</c:v>
                </c:pt>
                <c:pt idx="338">
                  <c:v>W338</c:v>
                </c:pt>
                <c:pt idx="339">
                  <c:v>W339</c:v>
                </c:pt>
                <c:pt idx="340">
                  <c:v>W340</c:v>
                </c:pt>
                <c:pt idx="341">
                  <c:v>W341</c:v>
                </c:pt>
                <c:pt idx="342">
                  <c:v>W342</c:v>
                </c:pt>
                <c:pt idx="343">
                  <c:v>W343</c:v>
                </c:pt>
                <c:pt idx="344">
                  <c:v>W344</c:v>
                </c:pt>
                <c:pt idx="345">
                  <c:v>W345</c:v>
                </c:pt>
                <c:pt idx="346">
                  <c:v>W346</c:v>
                </c:pt>
                <c:pt idx="347">
                  <c:v>W347</c:v>
                </c:pt>
                <c:pt idx="348">
                  <c:v>W348</c:v>
                </c:pt>
                <c:pt idx="349">
                  <c:v>W349</c:v>
                </c:pt>
                <c:pt idx="350">
                  <c:v>W350</c:v>
                </c:pt>
                <c:pt idx="351">
                  <c:v>W351</c:v>
                </c:pt>
                <c:pt idx="352">
                  <c:v>W352</c:v>
                </c:pt>
                <c:pt idx="353">
                  <c:v>W353</c:v>
                </c:pt>
                <c:pt idx="354">
                  <c:v>W354</c:v>
                </c:pt>
                <c:pt idx="355">
                  <c:v>W355</c:v>
                </c:pt>
                <c:pt idx="356">
                  <c:v>W356</c:v>
                </c:pt>
                <c:pt idx="357">
                  <c:v>W357</c:v>
                </c:pt>
                <c:pt idx="358">
                  <c:v>W358</c:v>
                </c:pt>
                <c:pt idx="359">
                  <c:v>W359</c:v>
                </c:pt>
                <c:pt idx="360">
                  <c:v>W360</c:v>
                </c:pt>
                <c:pt idx="361">
                  <c:v>W361</c:v>
                </c:pt>
                <c:pt idx="362">
                  <c:v>W362</c:v>
                </c:pt>
                <c:pt idx="363">
                  <c:v>W363</c:v>
                </c:pt>
                <c:pt idx="364">
                  <c:v>W364</c:v>
                </c:pt>
                <c:pt idx="365">
                  <c:v>W365</c:v>
                </c:pt>
                <c:pt idx="366">
                  <c:v>W366</c:v>
                </c:pt>
                <c:pt idx="367">
                  <c:v>W367</c:v>
                </c:pt>
                <c:pt idx="368">
                  <c:v>W368</c:v>
                </c:pt>
                <c:pt idx="369">
                  <c:v>W369</c:v>
                </c:pt>
                <c:pt idx="370">
                  <c:v>W370</c:v>
                </c:pt>
                <c:pt idx="371">
                  <c:v>W371</c:v>
                </c:pt>
                <c:pt idx="372">
                  <c:v>W372</c:v>
                </c:pt>
                <c:pt idx="373">
                  <c:v>W373</c:v>
                </c:pt>
                <c:pt idx="374">
                  <c:v>W374</c:v>
                </c:pt>
                <c:pt idx="375">
                  <c:v>W375</c:v>
                </c:pt>
                <c:pt idx="376">
                  <c:v>W376</c:v>
                </c:pt>
                <c:pt idx="377">
                  <c:v>W377</c:v>
                </c:pt>
                <c:pt idx="378">
                  <c:v>W378</c:v>
                </c:pt>
                <c:pt idx="379">
                  <c:v>W379</c:v>
                </c:pt>
                <c:pt idx="380">
                  <c:v>W380</c:v>
                </c:pt>
                <c:pt idx="381">
                  <c:v>W381</c:v>
                </c:pt>
                <c:pt idx="382">
                  <c:v>W382</c:v>
                </c:pt>
                <c:pt idx="383">
                  <c:v>W383</c:v>
                </c:pt>
                <c:pt idx="384">
                  <c:v>W384</c:v>
                </c:pt>
                <c:pt idx="385">
                  <c:v>W385</c:v>
                </c:pt>
                <c:pt idx="386">
                  <c:v>W386</c:v>
                </c:pt>
                <c:pt idx="387">
                  <c:v>W387</c:v>
                </c:pt>
                <c:pt idx="388">
                  <c:v>W388</c:v>
                </c:pt>
                <c:pt idx="389">
                  <c:v>W389</c:v>
                </c:pt>
                <c:pt idx="390">
                  <c:v>W390</c:v>
                </c:pt>
                <c:pt idx="391">
                  <c:v>W391</c:v>
                </c:pt>
                <c:pt idx="392">
                  <c:v>W392</c:v>
                </c:pt>
                <c:pt idx="393">
                  <c:v>W393</c:v>
                </c:pt>
                <c:pt idx="394">
                  <c:v>W394</c:v>
                </c:pt>
                <c:pt idx="395">
                  <c:v>W395</c:v>
                </c:pt>
                <c:pt idx="396">
                  <c:v>W396</c:v>
                </c:pt>
                <c:pt idx="397">
                  <c:v>W397</c:v>
                </c:pt>
                <c:pt idx="398">
                  <c:v>W398</c:v>
                </c:pt>
                <c:pt idx="399">
                  <c:v>W399</c:v>
                </c:pt>
                <c:pt idx="400">
                  <c:v>W400</c:v>
                </c:pt>
                <c:pt idx="401">
                  <c:v>W401</c:v>
                </c:pt>
                <c:pt idx="402">
                  <c:v>W402</c:v>
                </c:pt>
                <c:pt idx="403">
                  <c:v>W403</c:v>
                </c:pt>
                <c:pt idx="404">
                  <c:v>W404</c:v>
                </c:pt>
                <c:pt idx="405">
                  <c:v>W405</c:v>
                </c:pt>
                <c:pt idx="406">
                  <c:v>W406</c:v>
                </c:pt>
                <c:pt idx="407">
                  <c:v>W407</c:v>
                </c:pt>
                <c:pt idx="408">
                  <c:v>W408</c:v>
                </c:pt>
                <c:pt idx="409">
                  <c:v>W409</c:v>
                </c:pt>
                <c:pt idx="410">
                  <c:v>W410</c:v>
                </c:pt>
                <c:pt idx="411">
                  <c:v>W411</c:v>
                </c:pt>
                <c:pt idx="412">
                  <c:v>W412</c:v>
                </c:pt>
                <c:pt idx="413">
                  <c:v>W413</c:v>
                </c:pt>
                <c:pt idx="414">
                  <c:v>W414</c:v>
                </c:pt>
                <c:pt idx="415">
                  <c:v>W415</c:v>
                </c:pt>
                <c:pt idx="416">
                  <c:v>W416</c:v>
                </c:pt>
                <c:pt idx="417">
                  <c:v>W417</c:v>
                </c:pt>
                <c:pt idx="418">
                  <c:v>W418</c:v>
                </c:pt>
                <c:pt idx="419">
                  <c:v>W419</c:v>
                </c:pt>
                <c:pt idx="420">
                  <c:v>W420</c:v>
                </c:pt>
                <c:pt idx="421">
                  <c:v>W421</c:v>
                </c:pt>
                <c:pt idx="422">
                  <c:v>W422</c:v>
                </c:pt>
                <c:pt idx="423">
                  <c:v>W423</c:v>
                </c:pt>
                <c:pt idx="424">
                  <c:v>W424</c:v>
                </c:pt>
                <c:pt idx="425">
                  <c:v>W425</c:v>
                </c:pt>
                <c:pt idx="426">
                  <c:v>W426</c:v>
                </c:pt>
                <c:pt idx="427">
                  <c:v>W427</c:v>
                </c:pt>
                <c:pt idx="428">
                  <c:v>W428</c:v>
                </c:pt>
                <c:pt idx="429">
                  <c:v>W429</c:v>
                </c:pt>
                <c:pt idx="430">
                  <c:v>W430</c:v>
                </c:pt>
                <c:pt idx="431">
                  <c:v>W431</c:v>
                </c:pt>
                <c:pt idx="432">
                  <c:v>W432</c:v>
                </c:pt>
                <c:pt idx="433">
                  <c:v>W433</c:v>
                </c:pt>
                <c:pt idx="434">
                  <c:v>W434</c:v>
                </c:pt>
                <c:pt idx="435">
                  <c:v>W435</c:v>
                </c:pt>
                <c:pt idx="436">
                  <c:v>W436</c:v>
                </c:pt>
                <c:pt idx="437">
                  <c:v>W437</c:v>
                </c:pt>
                <c:pt idx="438">
                  <c:v>W438</c:v>
                </c:pt>
                <c:pt idx="439">
                  <c:v>W439</c:v>
                </c:pt>
                <c:pt idx="440">
                  <c:v>W440</c:v>
                </c:pt>
                <c:pt idx="441">
                  <c:v>W441</c:v>
                </c:pt>
                <c:pt idx="442">
                  <c:v>W442</c:v>
                </c:pt>
                <c:pt idx="443">
                  <c:v>W443</c:v>
                </c:pt>
                <c:pt idx="444">
                  <c:v>W444</c:v>
                </c:pt>
                <c:pt idx="445">
                  <c:v>W445</c:v>
                </c:pt>
                <c:pt idx="446">
                  <c:v>W446</c:v>
                </c:pt>
                <c:pt idx="447">
                  <c:v>W447</c:v>
                </c:pt>
                <c:pt idx="448">
                  <c:v>W448</c:v>
                </c:pt>
                <c:pt idx="449">
                  <c:v>W449</c:v>
                </c:pt>
                <c:pt idx="450">
                  <c:v>W450</c:v>
                </c:pt>
                <c:pt idx="451">
                  <c:v>W451</c:v>
                </c:pt>
                <c:pt idx="452">
                  <c:v>W452</c:v>
                </c:pt>
                <c:pt idx="453">
                  <c:v>W453</c:v>
                </c:pt>
                <c:pt idx="454">
                  <c:v>W454</c:v>
                </c:pt>
                <c:pt idx="455">
                  <c:v>W455</c:v>
                </c:pt>
                <c:pt idx="456">
                  <c:v>W456</c:v>
                </c:pt>
                <c:pt idx="457">
                  <c:v>W457</c:v>
                </c:pt>
                <c:pt idx="458">
                  <c:v>W458</c:v>
                </c:pt>
                <c:pt idx="459">
                  <c:v>W459</c:v>
                </c:pt>
                <c:pt idx="460">
                  <c:v>W460</c:v>
                </c:pt>
                <c:pt idx="461">
                  <c:v>W461</c:v>
                </c:pt>
                <c:pt idx="462">
                  <c:v>W462</c:v>
                </c:pt>
                <c:pt idx="463">
                  <c:v>W463</c:v>
                </c:pt>
                <c:pt idx="464">
                  <c:v>W464</c:v>
                </c:pt>
                <c:pt idx="465">
                  <c:v>W465</c:v>
                </c:pt>
                <c:pt idx="466">
                  <c:v>W466</c:v>
                </c:pt>
                <c:pt idx="467">
                  <c:v>W467</c:v>
                </c:pt>
                <c:pt idx="468">
                  <c:v>W468</c:v>
                </c:pt>
                <c:pt idx="469">
                  <c:v>W469</c:v>
                </c:pt>
                <c:pt idx="470">
                  <c:v>W470</c:v>
                </c:pt>
                <c:pt idx="471">
                  <c:v>W471</c:v>
                </c:pt>
                <c:pt idx="472">
                  <c:v>W472</c:v>
                </c:pt>
                <c:pt idx="473">
                  <c:v>W473</c:v>
                </c:pt>
                <c:pt idx="474">
                  <c:v>W474</c:v>
                </c:pt>
                <c:pt idx="475">
                  <c:v>W475</c:v>
                </c:pt>
                <c:pt idx="476">
                  <c:v>W476</c:v>
                </c:pt>
                <c:pt idx="477">
                  <c:v>W477</c:v>
                </c:pt>
                <c:pt idx="478">
                  <c:v>W478</c:v>
                </c:pt>
                <c:pt idx="479">
                  <c:v>W479</c:v>
                </c:pt>
                <c:pt idx="480">
                  <c:v>W480</c:v>
                </c:pt>
                <c:pt idx="481">
                  <c:v>W481</c:v>
                </c:pt>
                <c:pt idx="482">
                  <c:v>W482</c:v>
                </c:pt>
                <c:pt idx="483">
                  <c:v>W483</c:v>
                </c:pt>
                <c:pt idx="484">
                  <c:v>W484</c:v>
                </c:pt>
                <c:pt idx="485">
                  <c:v>W485</c:v>
                </c:pt>
                <c:pt idx="486">
                  <c:v>W486</c:v>
                </c:pt>
                <c:pt idx="487">
                  <c:v>W487</c:v>
                </c:pt>
                <c:pt idx="488">
                  <c:v>W488</c:v>
                </c:pt>
                <c:pt idx="489">
                  <c:v>W489</c:v>
                </c:pt>
                <c:pt idx="490">
                  <c:v>W490</c:v>
                </c:pt>
                <c:pt idx="491">
                  <c:v>W491</c:v>
                </c:pt>
                <c:pt idx="492">
                  <c:v>W492</c:v>
                </c:pt>
                <c:pt idx="493">
                  <c:v>W493</c:v>
                </c:pt>
                <c:pt idx="494">
                  <c:v>W494</c:v>
                </c:pt>
                <c:pt idx="495">
                  <c:v>W495</c:v>
                </c:pt>
                <c:pt idx="496">
                  <c:v>W496</c:v>
                </c:pt>
                <c:pt idx="497">
                  <c:v>W497</c:v>
                </c:pt>
                <c:pt idx="498">
                  <c:v>W498</c:v>
                </c:pt>
                <c:pt idx="499">
                  <c:v>W499</c:v>
                </c:pt>
                <c:pt idx="500">
                  <c:v>W500</c:v>
                </c:pt>
                <c:pt idx="501">
                  <c:v>W501</c:v>
                </c:pt>
                <c:pt idx="502">
                  <c:v>W502</c:v>
                </c:pt>
                <c:pt idx="503">
                  <c:v>W503</c:v>
                </c:pt>
                <c:pt idx="504">
                  <c:v>W504</c:v>
                </c:pt>
                <c:pt idx="505">
                  <c:v>W505</c:v>
                </c:pt>
                <c:pt idx="506">
                  <c:v>W506</c:v>
                </c:pt>
                <c:pt idx="507">
                  <c:v>W507</c:v>
                </c:pt>
                <c:pt idx="508">
                  <c:v>W508</c:v>
                </c:pt>
                <c:pt idx="509">
                  <c:v>W509</c:v>
                </c:pt>
                <c:pt idx="510">
                  <c:v>W510</c:v>
                </c:pt>
                <c:pt idx="511">
                  <c:v>W511</c:v>
                </c:pt>
                <c:pt idx="512">
                  <c:v>W512</c:v>
                </c:pt>
                <c:pt idx="513">
                  <c:v>W513</c:v>
                </c:pt>
                <c:pt idx="514">
                  <c:v>W514</c:v>
                </c:pt>
                <c:pt idx="515">
                  <c:v>W515</c:v>
                </c:pt>
                <c:pt idx="516">
                  <c:v>W516</c:v>
                </c:pt>
                <c:pt idx="517">
                  <c:v>W517</c:v>
                </c:pt>
                <c:pt idx="518">
                  <c:v>W518</c:v>
                </c:pt>
                <c:pt idx="519">
                  <c:v>W519</c:v>
                </c:pt>
                <c:pt idx="520">
                  <c:v>W520</c:v>
                </c:pt>
                <c:pt idx="521">
                  <c:v>W521</c:v>
                </c:pt>
                <c:pt idx="522">
                  <c:v>W522</c:v>
                </c:pt>
                <c:pt idx="523">
                  <c:v>W523</c:v>
                </c:pt>
                <c:pt idx="524">
                  <c:v>W524</c:v>
                </c:pt>
                <c:pt idx="525">
                  <c:v>W525</c:v>
                </c:pt>
                <c:pt idx="526">
                  <c:v>W526</c:v>
                </c:pt>
                <c:pt idx="527">
                  <c:v>W527</c:v>
                </c:pt>
                <c:pt idx="528">
                  <c:v>W528</c:v>
                </c:pt>
                <c:pt idx="529">
                  <c:v>W529</c:v>
                </c:pt>
                <c:pt idx="530">
                  <c:v>W530</c:v>
                </c:pt>
                <c:pt idx="531">
                  <c:v>W531</c:v>
                </c:pt>
                <c:pt idx="532">
                  <c:v>W532</c:v>
                </c:pt>
                <c:pt idx="533">
                  <c:v>W533</c:v>
                </c:pt>
                <c:pt idx="534">
                  <c:v>W534</c:v>
                </c:pt>
                <c:pt idx="535">
                  <c:v>W535</c:v>
                </c:pt>
                <c:pt idx="536">
                  <c:v>W536</c:v>
                </c:pt>
                <c:pt idx="537">
                  <c:v>W537</c:v>
                </c:pt>
                <c:pt idx="538">
                  <c:v>W538</c:v>
                </c:pt>
                <c:pt idx="539">
                  <c:v>W539</c:v>
                </c:pt>
                <c:pt idx="540">
                  <c:v>W540</c:v>
                </c:pt>
                <c:pt idx="541">
                  <c:v>W541</c:v>
                </c:pt>
                <c:pt idx="542">
                  <c:v>W542</c:v>
                </c:pt>
                <c:pt idx="543">
                  <c:v>W543</c:v>
                </c:pt>
                <c:pt idx="544">
                  <c:v>W544</c:v>
                </c:pt>
                <c:pt idx="545">
                  <c:v>W545</c:v>
                </c:pt>
                <c:pt idx="546">
                  <c:v>W546</c:v>
                </c:pt>
                <c:pt idx="547">
                  <c:v>W547</c:v>
                </c:pt>
                <c:pt idx="548">
                  <c:v>W548</c:v>
                </c:pt>
                <c:pt idx="549">
                  <c:v>W549</c:v>
                </c:pt>
                <c:pt idx="550">
                  <c:v>W550</c:v>
                </c:pt>
                <c:pt idx="551">
                  <c:v>W551</c:v>
                </c:pt>
                <c:pt idx="552">
                  <c:v>W552</c:v>
                </c:pt>
                <c:pt idx="553">
                  <c:v>W553</c:v>
                </c:pt>
                <c:pt idx="554">
                  <c:v>W554</c:v>
                </c:pt>
                <c:pt idx="555">
                  <c:v>W555</c:v>
                </c:pt>
                <c:pt idx="556">
                  <c:v>W556</c:v>
                </c:pt>
                <c:pt idx="557">
                  <c:v>W557</c:v>
                </c:pt>
                <c:pt idx="558">
                  <c:v>W558</c:v>
                </c:pt>
                <c:pt idx="559">
                  <c:v>W559</c:v>
                </c:pt>
                <c:pt idx="560">
                  <c:v>W560</c:v>
                </c:pt>
                <c:pt idx="561">
                  <c:v>W561</c:v>
                </c:pt>
                <c:pt idx="562">
                  <c:v>W562</c:v>
                </c:pt>
                <c:pt idx="563">
                  <c:v>W563</c:v>
                </c:pt>
                <c:pt idx="564">
                  <c:v>W564</c:v>
                </c:pt>
                <c:pt idx="565">
                  <c:v>W565</c:v>
                </c:pt>
                <c:pt idx="566">
                  <c:v>W566</c:v>
                </c:pt>
                <c:pt idx="567">
                  <c:v>W567</c:v>
                </c:pt>
                <c:pt idx="568">
                  <c:v>W568</c:v>
                </c:pt>
                <c:pt idx="569">
                  <c:v>W569</c:v>
                </c:pt>
                <c:pt idx="570">
                  <c:v>W570</c:v>
                </c:pt>
                <c:pt idx="571">
                  <c:v>W571</c:v>
                </c:pt>
                <c:pt idx="572">
                  <c:v>W572</c:v>
                </c:pt>
                <c:pt idx="573">
                  <c:v>W573</c:v>
                </c:pt>
                <c:pt idx="574">
                  <c:v>W574</c:v>
                </c:pt>
                <c:pt idx="575">
                  <c:v>W575</c:v>
                </c:pt>
                <c:pt idx="576">
                  <c:v>W576</c:v>
                </c:pt>
                <c:pt idx="577">
                  <c:v>W577</c:v>
                </c:pt>
                <c:pt idx="578">
                  <c:v>W578</c:v>
                </c:pt>
                <c:pt idx="579">
                  <c:v>W579</c:v>
                </c:pt>
                <c:pt idx="580">
                  <c:v>W580</c:v>
                </c:pt>
                <c:pt idx="581">
                  <c:v>W581</c:v>
                </c:pt>
                <c:pt idx="582">
                  <c:v>W582</c:v>
                </c:pt>
                <c:pt idx="583">
                  <c:v>W583</c:v>
                </c:pt>
                <c:pt idx="584">
                  <c:v>W584</c:v>
                </c:pt>
                <c:pt idx="585">
                  <c:v>W585</c:v>
                </c:pt>
                <c:pt idx="586">
                  <c:v>W586</c:v>
                </c:pt>
                <c:pt idx="587">
                  <c:v>W587</c:v>
                </c:pt>
                <c:pt idx="588">
                  <c:v>W588</c:v>
                </c:pt>
                <c:pt idx="589">
                  <c:v>W589</c:v>
                </c:pt>
                <c:pt idx="590">
                  <c:v>W590</c:v>
                </c:pt>
                <c:pt idx="591">
                  <c:v>W591</c:v>
                </c:pt>
                <c:pt idx="592">
                  <c:v>W592</c:v>
                </c:pt>
                <c:pt idx="593">
                  <c:v>W593</c:v>
                </c:pt>
                <c:pt idx="594">
                  <c:v>W594</c:v>
                </c:pt>
                <c:pt idx="595">
                  <c:v>W595</c:v>
                </c:pt>
                <c:pt idx="596">
                  <c:v>W596</c:v>
                </c:pt>
                <c:pt idx="597">
                  <c:v>W597</c:v>
                </c:pt>
                <c:pt idx="598">
                  <c:v>W598</c:v>
                </c:pt>
                <c:pt idx="599">
                  <c:v>W599</c:v>
                </c:pt>
                <c:pt idx="600">
                  <c:v>W600</c:v>
                </c:pt>
                <c:pt idx="601">
                  <c:v>W601</c:v>
                </c:pt>
                <c:pt idx="602">
                  <c:v>W602</c:v>
                </c:pt>
                <c:pt idx="603">
                  <c:v>W603</c:v>
                </c:pt>
                <c:pt idx="604">
                  <c:v>W604</c:v>
                </c:pt>
                <c:pt idx="605">
                  <c:v>W605</c:v>
                </c:pt>
                <c:pt idx="606">
                  <c:v>W606</c:v>
                </c:pt>
                <c:pt idx="607">
                  <c:v>W607</c:v>
                </c:pt>
                <c:pt idx="608">
                  <c:v>W608</c:v>
                </c:pt>
                <c:pt idx="609">
                  <c:v>W609</c:v>
                </c:pt>
                <c:pt idx="610">
                  <c:v>W610</c:v>
                </c:pt>
                <c:pt idx="611">
                  <c:v>W611</c:v>
                </c:pt>
                <c:pt idx="612">
                  <c:v>W612</c:v>
                </c:pt>
                <c:pt idx="613">
                  <c:v>W613</c:v>
                </c:pt>
                <c:pt idx="614">
                  <c:v>W614</c:v>
                </c:pt>
                <c:pt idx="615">
                  <c:v>W615</c:v>
                </c:pt>
                <c:pt idx="616">
                  <c:v>W616</c:v>
                </c:pt>
                <c:pt idx="617">
                  <c:v>W617</c:v>
                </c:pt>
                <c:pt idx="618">
                  <c:v>W618</c:v>
                </c:pt>
                <c:pt idx="619">
                  <c:v>W619</c:v>
                </c:pt>
                <c:pt idx="620">
                  <c:v>W620</c:v>
                </c:pt>
                <c:pt idx="621">
                  <c:v>W621</c:v>
                </c:pt>
                <c:pt idx="622">
                  <c:v>W622</c:v>
                </c:pt>
                <c:pt idx="623">
                  <c:v>W623</c:v>
                </c:pt>
                <c:pt idx="624">
                  <c:v>W624</c:v>
                </c:pt>
                <c:pt idx="625">
                  <c:v>W625</c:v>
                </c:pt>
                <c:pt idx="626">
                  <c:v>W626</c:v>
                </c:pt>
                <c:pt idx="627">
                  <c:v>W627</c:v>
                </c:pt>
                <c:pt idx="628">
                  <c:v>W628</c:v>
                </c:pt>
                <c:pt idx="629">
                  <c:v>W629</c:v>
                </c:pt>
                <c:pt idx="630">
                  <c:v>W630</c:v>
                </c:pt>
                <c:pt idx="631">
                  <c:v>W631</c:v>
                </c:pt>
                <c:pt idx="632">
                  <c:v>W632</c:v>
                </c:pt>
                <c:pt idx="633">
                  <c:v>W633</c:v>
                </c:pt>
              </c:strCache>
            </c:strRef>
          </c:cat>
          <c:val>
            <c:numRef>
              <c:f>'Token Releasing Plan'!$E$17:$E$650</c:f>
              <c:numCache>
                <c:formatCode>_(* #,##0.00_);_(* \(#,##0.00\);_(* "-"??_);_(@_)</c:formatCode>
                <c:ptCount val="634"/>
                <c:pt idx="0">
                  <c:v>750000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960000</c:v>
                </c:pt>
                <c:pt idx="14">
                  <c:v>960000</c:v>
                </c:pt>
                <c:pt idx="15">
                  <c:v>960000</c:v>
                </c:pt>
                <c:pt idx="16">
                  <c:v>960000</c:v>
                </c:pt>
                <c:pt idx="17">
                  <c:v>960000</c:v>
                </c:pt>
                <c:pt idx="18">
                  <c:v>960000</c:v>
                </c:pt>
                <c:pt idx="19">
                  <c:v>960000</c:v>
                </c:pt>
                <c:pt idx="20">
                  <c:v>960000</c:v>
                </c:pt>
                <c:pt idx="21">
                  <c:v>960000</c:v>
                </c:pt>
                <c:pt idx="22">
                  <c:v>960000</c:v>
                </c:pt>
                <c:pt idx="23">
                  <c:v>960000</c:v>
                </c:pt>
                <c:pt idx="24">
                  <c:v>960000</c:v>
                </c:pt>
                <c:pt idx="25">
                  <c:v>921600</c:v>
                </c:pt>
                <c:pt idx="26">
                  <c:v>921600</c:v>
                </c:pt>
                <c:pt idx="27">
                  <c:v>921600</c:v>
                </c:pt>
                <c:pt idx="28">
                  <c:v>921600</c:v>
                </c:pt>
                <c:pt idx="29">
                  <c:v>921600</c:v>
                </c:pt>
                <c:pt idx="30">
                  <c:v>921600</c:v>
                </c:pt>
                <c:pt idx="31">
                  <c:v>921600</c:v>
                </c:pt>
                <c:pt idx="32">
                  <c:v>921600</c:v>
                </c:pt>
                <c:pt idx="33">
                  <c:v>921600</c:v>
                </c:pt>
                <c:pt idx="34">
                  <c:v>921600</c:v>
                </c:pt>
                <c:pt idx="35">
                  <c:v>921600</c:v>
                </c:pt>
                <c:pt idx="36">
                  <c:v>921600</c:v>
                </c:pt>
                <c:pt idx="37">
                  <c:v>884736</c:v>
                </c:pt>
                <c:pt idx="38">
                  <c:v>884736</c:v>
                </c:pt>
                <c:pt idx="39">
                  <c:v>884736</c:v>
                </c:pt>
                <c:pt idx="40">
                  <c:v>884736</c:v>
                </c:pt>
                <c:pt idx="41">
                  <c:v>884736</c:v>
                </c:pt>
                <c:pt idx="42">
                  <c:v>884736</c:v>
                </c:pt>
                <c:pt idx="43">
                  <c:v>884736</c:v>
                </c:pt>
                <c:pt idx="44">
                  <c:v>884736</c:v>
                </c:pt>
                <c:pt idx="45">
                  <c:v>884736</c:v>
                </c:pt>
                <c:pt idx="46">
                  <c:v>884736</c:v>
                </c:pt>
                <c:pt idx="47">
                  <c:v>884736</c:v>
                </c:pt>
                <c:pt idx="48">
                  <c:v>884736</c:v>
                </c:pt>
                <c:pt idx="49">
                  <c:v>849346.55999999994</c:v>
                </c:pt>
                <c:pt idx="50">
                  <c:v>849346.55999999994</c:v>
                </c:pt>
                <c:pt idx="51">
                  <c:v>764411.90399999998</c:v>
                </c:pt>
                <c:pt idx="52">
                  <c:v>764411.90399999998</c:v>
                </c:pt>
                <c:pt idx="53">
                  <c:v>764411.90399999998</c:v>
                </c:pt>
                <c:pt idx="54">
                  <c:v>764411.90399999998</c:v>
                </c:pt>
                <c:pt idx="55">
                  <c:v>764411.90399999998</c:v>
                </c:pt>
                <c:pt idx="56">
                  <c:v>764411.90399999998</c:v>
                </c:pt>
                <c:pt idx="57">
                  <c:v>764411.90399999998</c:v>
                </c:pt>
                <c:pt idx="58">
                  <c:v>764411.90399999998</c:v>
                </c:pt>
                <c:pt idx="59">
                  <c:v>764411.90399999998</c:v>
                </c:pt>
                <c:pt idx="60">
                  <c:v>764411.90399999998</c:v>
                </c:pt>
                <c:pt idx="61">
                  <c:v>733835.42784000002</c:v>
                </c:pt>
                <c:pt idx="62">
                  <c:v>733835.42784000002</c:v>
                </c:pt>
                <c:pt idx="63">
                  <c:v>733835.42784000002</c:v>
                </c:pt>
                <c:pt idx="64">
                  <c:v>733835.42784000002</c:v>
                </c:pt>
                <c:pt idx="65">
                  <c:v>733835.42784000002</c:v>
                </c:pt>
                <c:pt idx="66">
                  <c:v>733835.42784000002</c:v>
                </c:pt>
                <c:pt idx="67">
                  <c:v>733835.42784000002</c:v>
                </c:pt>
                <c:pt idx="68">
                  <c:v>733835.42784000002</c:v>
                </c:pt>
                <c:pt idx="69">
                  <c:v>733835.42784000002</c:v>
                </c:pt>
                <c:pt idx="70">
                  <c:v>733835.42784000002</c:v>
                </c:pt>
                <c:pt idx="71">
                  <c:v>733835.42784000002</c:v>
                </c:pt>
                <c:pt idx="72">
                  <c:v>733835.42784000002</c:v>
                </c:pt>
                <c:pt idx="73">
                  <c:v>704482.01072639995</c:v>
                </c:pt>
                <c:pt idx="74">
                  <c:v>704482.01072639995</c:v>
                </c:pt>
                <c:pt idx="75">
                  <c:v>704482.01072639995</c:v>
                </c:pt>
                <c:pt idx="76">
                  <c:v>704482.01072639995</c:v>
                </c:pt>
                <c:pt idx="77">
                  <c:v>704482.01072639995</c:v>
                </c:pt>
                <c:pt idx="78">
                  <c:v>704482.01072639995</c:v>
                </c:pt>
                <c:pt idx="79">
                  <c:v>704482.01072639995</c:v>
                </c:pt>
                <c:pt idx="80">
                  <c:v>704482.01072639995</c:v>
                </c:pt>
                <c:pt idx="81">
                  <c:v>704482.01072639995</c:v>
                </c:pt>
                <c:pt idx="82">
                  <c:v>704482.01072639995</c:v>
                </c:pt>
                <c:pt idx="83">
                  <c:v>704482.01072639995</c:v>
                </c:pt>
                <c:pt idx="84">
                  <c:v>704482.01072639995</c:v>
                </c:pt>
                <c:pt idx="85">
                  <c:v>676302.73029734404</c:v>
                </c:pt>
                <c:pt idx="86">
                  <c:v>676302.73029734404</c:v>
                </c:pt>
                <c:pt idx="87">
                  <c:v>676302.73029734404</c:v>
                </c:pt>
                <c:pt idx="88">
                  <c:v>676302.73029734404</c:v>
                </c:pt>
                <c:pt idx="89">
                  <c:v>676302.73029734404</c:v>
                </c:pt>
                <c:pt idx="90">
                  <c:v>676302.73029734404</c:v>
                </c:pt>
                <c:pt idx="91">
                  <c:v>676302.73029734404</c:v>
                </c:pt>
                <c:pt idx="92">
                  <c:v>676302.73029734404</c:v>
                </c:pt>
                <c:pt idx="93">
                  <c:v>676302.73029734404</c:v>
                </c:pt>
                <c:pt idx="94">
                  <c:v>676302.73029734404</c:v>
                </c:pt>
                <c:pt idx="95">
                  <c:v>676302.73029734404</c:v>
                </c:pt>
                <c:pt idx="96">
                  <c:v>676302.73029734404</c:v>
                </c:pt>
                <c:pt idx="97">
                  <c:v>649250.62108545029</c:v>
                </c:pt>
                <c:pt idx="98">
                  <c:v>649250.62108545029</c:v>
                </c:pt>
                <c:pt idx="99">
                  <c:v>649250.62108545029</c:v>
                </c:pt>
                <c:pt idx="100">
                  <c:v>649250.62108545029</c:v>
                </c:pt>
                <c:pt idx="101">
                  <c:v>577111.66318706679</c:v>
                </c:pt>
                <c:pt idx="102">
                  <c:v>577111.66318706679</c:v>
                </c:pt>
                <c:pt idx="103">
                  <c:v>577111.66318706679</c:v>
                </c:pt>
                <c:pt idx="104">
                  <c:v>577111.66318706679</c:v>
                </c:pt>
                <c:pt idx="105">
                  <c:v>577111.66318706679</c:v>
                </c:pt>
                <c:pt idx="106">
                  <c:v>577111.66318706679</c:v>
                </c:pt>
                <c:pt idx="107">
                  <c:v>577111.66318706679</c:v>
                </c:pt>
                <c:pt idx="108">
                  <c:v>577111.66318706679</c:v>
                </c:pt>
                <c:pt idx="109">
                  <c:v>554027.19665958418</c:v>
                </c:pt>
                <c:pt idx="110">
                  <c:v>554027.19665958418</c:v>
                </c:pt>
                <c:pt idx="111">
                  <c:v>554027.19665958418</c:v>
                </c:pt>
                <c:pt idx="112">
                  <c:v>554027.19665958418</c:v>
                </c:pt>
                <c:pt idx="113">
                  <c:v>554027.19665958418</c:v>
                </c:pt>
                <c:pt idx="114">
                  <c:v>554027.19665958418</c:v>
                </c:pt>
                <c:pt idx="115">
                  <c:v>554027.19665958418</c:v>
                </c:pt>
                <c:pt idx="116">
                  <c:v>554027.19665958418</c:v>
                </c:pt>
                <c:pt idx="117">
                  <c:v>554027.19665958418</c:v>
                </c:pt>
                <c:pt idx="118">
                  <c:v>554027.19665958418</c:v>
                </c:pt>
                <c:pt idx="119">
                  <c:v>554027.19665958418</c:v>
                </c:pt>
                <c:pt idx="120">
                  <c:v>554027.19665958418</c:v>
                </c:pt>
                <c:pt idx="121">
                  <c:v>531866.10879320069</c:v>
                </c:pt>
                <c:pt idx="122">
                  <c:v>531866.10879320069</c:v>
                </c:pt>
                <c:pt idx="123">
                  <c:v>531866.10879320069</c:v>
                </c:pt>
                <c:pt idx="124">
                  <c:v>531866.10879320069</c:v>
                </c:pt>
                <c:pt idx="125">
                  <c:v>531866.10879320069</c:v>
                </c:pt>
                <c:pt idx="126">
                  <c:v>531866.10879320069</c:v>
                </c:pt>
                <c:pt idx="127">
                  <c:v>531866.10879320069</c:v>
                </c:pt>
                <c:pt idx="128">
                  <c:v>531866.10879320069</c:v>
                </c:pt>
                <c:pt idx="129">
                  <c:v>531866.10879320069</c:v>
                </c:pt>
                <c:pt idx="130">
                  <c:v>531866.10879320069</c:v>
                </c:pt>
                <c:pt idx="131">
                  <c:v>531866.10879320069</c:v>
                </c:pt>
                <c:pt idx="132">
                  <c:v>531866.10879320069</c:v>
                </c:pt>
                <c:pt idx="133">
                  <c:v>510591.46444147266</c:v>
                </c:pt>
                <c:pt idx="134">
                  <c:v>510591.46444147266</c:v>
                </c:pt>
                <c:pt idx="135">
                  <c:v>510591.46444147266</c:v>
                </c:pt>
                <c:pt idx="136">
                  <c:v>510591.46444147266</c:v>
                </c:pt>
                <c:pt idx="137">
                  <c:v>510591.46444147266</c:v>
                </c:pt>
                <c:pt idx="138">
                  <c:v>510591.46444147266</c:v>
                </c:pt>
                <c:pt idx="139">
                  <c:v>510591.46444147266</c:v>
                </c:pt>
                <c:pt idx="140">
                  <c:v>510591.46444147266</c:v>
                </c:pt>
                <c:pt idx="141">
                  <c:v>510591.46444147266</c:v>
                </c:pt>
                <c:pt idx="142">
                  <c:v>510591.46444147266</c:v>
                </c:pt>
                <c:pt idx="143">
                  <c:v>510591.46444147266</c:v>
                </c:pt>
                <c:pt idx="144">
                  <c:v>510591.46444147266</c:v>
                </c:pt>
                <c:pt idx="145">
                  <c:v>490167.80586381373</c:v>
                </c:pt>
                <c:pt idx="146">
                  <c:v>490167.80586381373</c:v>
                </c:pt>
                <c:pt idx="147">
                  <c:v>490167.80586381373</c:v>
                </c:pt>
                <c:pt idx="148">
                  <c:v>490167.80586381373</c:v>
                </c:pt>
                <c:pt idx="149">
                  <c:v>490167.80586381373</c:v>
                </c:pt>
                <c:pt idx="150">
                  <c:v>490167.80586381373</c:v>
                </c:pt>
                <c:pt idx="151">
                  <c:v>428896.83013083704</c:v>
                </c:pt>
                <c:pt idx="152">
                  <c:v>428896.83013083704</c:v>
                </c:pt>
                <c:pt idx="153">
                  <c:v>428896.83013083704</c:v>
                </c:pt>
                <c:pt idx="154">
                  <c:v>428896.83013083704</c:v>
                </c:pt>
                <c:pt idx="155">
                  <c:v>428896.83013083704</c:v>
                </c:pt>
                <c:pt idx="156">
                  <c:v>428896.83013083704</c:v>
                </c:pt>
                <c:pt idx="157">
                  <c:v>411740.95692560356</c:v>
                </c:pt>
                <c:pt idx="158">
                  <c:v>411740.95692560356</c:v>
                </c:pt>
                <c:pt idx="159">
                  <c:v>411740.95692560356</c:v>
                </c:pt>
                <c:pt idx="160">
                  <c:v>411740.95692560356</c:v>
                </c:pt>
                <c:pt idx="161">
                  <c:v>411740.95692560356</c:v>
                </c:pt>
                <c:pt idx="162">
                  <c:v>411740.95692560356</c:v>
                </c:pt>
                <c:pt idx="163">
                  <c:v>411740.95692560356</c:v>
                </c:pt>
                <c:pt idx="164">
                  <c:v>411740.95692560356</c:v>
                </c:pt>
                <c:pt idx="165">
                  <c:v>411740.95692560356</c:v>
                </c:pt>
                <c:pt idx="166">
                  <c:v>411740.95692560356</c:v>
                </c:pt>
                <c:pt idx="167">
                  <c:v>411740.95692560356</c:v>
                </c:pt>
                <c:pt idx="168">
                  <c:v>411740.95692560356</c:v>
                </c:pt>
                <c:pt idx="169">
                  <c:v>395271.31864857941</c:v>
                </c:pt>
                <c:pt idx="170">
                  <c:v>395271.31864857941</c:v>
                </c:pt>
                <c:pt idx="171">
                  <c:v>395271.31864857941</c:v>
                </c:pt>
                <c:pt idx="172">
                  <c:v>395271.31864857941</c:v>
                </c:pt>
                <c:pt idx="173">
                  <c:v>395271.31864857941</c:v>
                </c:pt>
                <c:pt idx="174">
                  <c:v>395271.31864857941</c:v>
                </c:pt>
                <c:pt idx="175">
                  <c:v>395271.31864857941</c:v>
                </c:pt>
                <c:pt idx="176">
                  <c:v>395271.31864857941</c:v>
                </c:pt>
                <c:pt idx="177">
                  <c:v>395271.31864857941</c:v>
                </c:pt>
                <c:pt idx="178">
                  <c:v>395271.31864857941</c:v>
                </c:pt>
                <c:pt idx="179">
                  <c:v>395271.31864857941</c:v>
                </c:pt>
                <c:pt idx="180">
                  <c:v>395271.31864857941</c:v>
                </c:pt>
                <c:pt idx="181">
                  <c:v>379460.46590263618</c:v>
                </c:pt>
                <c:pt idx="182">
                  <c:v>379460.46590263618</c:v>
                </c:pt>
                <c:pt idx="183">
                  <c:v>379460.46590263618</c:v>
                </c:pt>
                <c:pt idx="184">
                  <c:v>379460.46590263618</c:v>
                </c:pt>
                <c:pt idx="185">
                  <c:v>379460.46590263618</c:v>
                </c:pt>
                <c:pt idx="186">
                  <c:v>379460.46590263618</c:v>
                </c:pt>
                <c:pt idx="187">
                  <c:v>379460.46590263618</c:v>
                </c:pt>
                <c:pt idx="188">
                  <c:v>379460.46590263618</c:v>
                </c:pt>
                <c:pt idx="189">
                  <c:v>379460.46590263618</c:v>
                </c:pt>
                <c:pt idx="190">
                  <c:v>379460.46590263618</c:v>
                </c:pt>
                <c:pt idx="191">
                  <c:v>379460.46590263618</c:v>
                </c:pt>
                <c:pt idx="192">
                  <c:v>379460.46590263618</c:v>
                </c:pt>
                <c:pt idx="193">
                  <c:v>364282.04726653075</c:v>
                </c:pt>
                <c:pt idx="194">
                  <c:v>364282.04726653075</c:v>
                </c:pt>
                <c:pt idx="195">
                  <c:v>364282.04726653075</c:v>
                </c:pt>
                <c:pt idx="196">
                  <c:v>364282.04726653075</c:v>
                </c:pt>
                <c:pt idx="197">
                  <c:v>364282.04726653075</c:v>
                </c:pt>
                <c:pt idx="198">
                  <c:v>364282.04726653075</c:v>
                </c:pt>
                <c:pt idx="199">
                  <c:v>364282.04726653075</c:v>
                </c:pt>
                <c:pt idx="200">
                  <c:v>364282.04726653075</c:v>
                </c:pt>
                <c:pt idx="201">
                  <c:v>312241.75479988346</c:v>
                </c:pt>
                <c:pt idx="202">
                  <c:v>312241.75479988346</c:v>
                </c:pt>
                <c:pt idx="203">
                  <c:v>312241.75479988346</c:v>
                </c:pt>
                <c:pt idx="204">
                  <c:v>312241.75479988346</c:v>
                </c:pt>
                <c:pt idx="205">
                  <c:v>299752.08460788813</c:v>
                </c:pt>
                <c:pt idx="206">
                  <c:v>299752.08460788813</c:v>
                </c:pt>
                <c:pt idx="207">
                  <c:v>299752.08460788813</c:v>
                </c:pt>
                <c:pt idx="208">
                  <c:v>299752.08460788813</c:v>
                </c:pt>
                <c:pt idx="209">
                  <c:v>299752.08460788813</c:v>
                </c:pt>
                <c:pt idx="210">
                  <c:v>299752.08460788813</c:v>
                </c:pt>
                <c:pt idx="211">
                  <c:v>299752.08460788813</c:v>
                </c:pt>
                <c:pt idx="212">
                  <c:v>299752.08460788813</c:v>
                </c:pt>
                <c:pt idx="213">
                  <c:v>299752.08460788813</c:v>
                </c:pt>
                <c:pt idx="214">
                  <c:v>299752.08460788813</c:v>
                </c:pt>
                <c:pt idx="215">
                  <c:v>299752.08460788813</c:v>
                </c:pt>
                <c:pt idx="216">
                  <c:v>299752.08460788813</c:v>
                </c:pt>
                <c:pt idx="217">
                  <c:v>287762.00122357265</c:v>
                </c:pt>
                <c:pt idx="218">
                  <c:v>287762.00122357265</c:v>
                </c:pt>
                <c:pt idx="219">
                  <c:v>287762.00122357265</c:v>
                </c:pt>
                <c:pt idx="220">
                  <c:v>287762.00122357265</c:v>
                </c:pt>
                <c:pt idx="221">
                  <c:v>287762.00122357265</c:v>
                </c:pt>
                <c:pt idx="222">
                  <c:v>287762.00122357265</c:v>
                </c:pt>
                <c:pt idx="223">
                  <c:v>287762.00122357265</c:v>
                </c:pt>
                <c:pt idx="224">
                  <c:v>287762.00122357265</c:v>
                </c:pt>
                <c:pt idx="225">
                  <c:v>287762.00122357265</c:v>
                </c:pt>
                <c:pt idx="226">
                  <c:v>287762.00122357265</c:v>
                </c:pt>
                <c:pt idx="227">
                  <c:v>287762.00122357265</c:v>
                </c:pt>
                <c:pt idx="228">
                  <c:v>287762.00122357265</c:v>
                </c:pt>
                <c:pt idx="229">
                  <c:v>276251.52117462968</c:v>
                </c:pt>
                <c:pt idx="230">
                  <c:v>276251.52117462968</c:v>
                </c:pt>
                <c:pt idx="231">
                  <c:v>276251.52117462968</c:v>
                </c:pt>
                <c:pt idx="232">
                  <c:v>276251.52117462968</c:v>
                </c:pt>
                <c:pt idx="233">
                  <c:v>276251.52117462968</c:v>
                </c:pt>
                <c:pt idx="234">
                  <c:v>276251.52117462968</c:v>
                </c:pt>
                <c:pt idx="235">
                  <c:v>276251.52117462968</c:v>
                </c:pt>
                <c:pt idx="236">
                  <c:v>276251.52117462968</c:v>
                </c:pt>
                <c:pt idx="237">
                  <c:v>276251.52117462968</c:v>
                </c:pt>
                <c:pt idx="238">
                  <c:v>276251.52117462968</c:v>
                </c:pt>
                <c:pt idx="239">
                  <c:v>276251.52117462968</c:v>
                </c:pt>
                <c:pt idx="240">
                  <c:v>276251.52117462968</c:v>
                </c:pt>
                <c:pt idx="241">
                  <c:v>265201.46032764448</c:v>
                </c:pt>
                <c:pt idx="242">
                  <c:v>265201.46032764448</c:v>
                </c:pt>
                <c:pt idx="243">
                  <c:v>265201.46032764448</c:v>
                </c:pt>
                <c:pt idx="244">
                  <c:v>265201.46032764448</c:v>
                </c:pt>
                <c:pt idx="245">
                  <c:v>265201.46032764448</c:v>
                </c:pt>
                <c:pt idx="246">
                  <c:v>265201.46032764448</c:v>
                </c:pt>
                <c:pt idx="247">
                  <c:v>265201.46032764448</c:v>
                </c:pt>
                <c:pt idx="248">
                  <c:v>265201.46032764448</c:v>
                </c:pt>
                <c:pt idx="249">
                  <c:v>265201.46032764448</c:v>
                </c:pt>
                <c:pt idx="250">
                  <c:v>265201.46032764448</c:v>
                </c:pt>
                <c:pt idx="251">
                  <c:v>265201.46032764448</c:v>
                </c:pt>
                <c:pt idx="252">
                  <c:v>265201.46032764448</c:v>
                </c:pt>
                <c:pt idx="253">
                  <c:v>254593.4019145387</c:v>
                </c:pt>
                <c:pt idx="254">
                  <c:v>254593.4019145387</c:v>
                </c:pt>
                <c:pt idx="255">
                  <c:v>254593.4019145387</c:v>
                </c:pt>
                <c:pt idx="256">
                  <c:v>254593.4019145387</c:v>
                </c:pt>
                <c:pt idx="257">
                  <c:v>254593.4019145387</c:v>
                </c:pt>
                <c:pt idx="258">
                  <c:v>254593.4019145387</c:v>
                </c:pt>
                <c:pt idx="259">
                  <c:v>254593.4019145387</c:v>
                </c:pt>
                <c:pt idx="260">
                  <c:v>254593.4019145387</c:v>
                </c:pt>
                <c:pt idx="261">
                  <c:v>254593.4019145387</c:v>
                </c:pt>
                <c:pt idx="262">
                  <c:v>254593.4019145387</c:v>
                </c:pt>
                <c:pt idx="263">
                  <c:v>254593.4019145387</c:v>
                </c:pt>
                <c:pt idx="264">
                  <c:v>254593.4019145387</c:v>
                </c:pt>
                <c:pt idx="265">
                  <c:v>244409.66583795715</c:v>
                </c:pt>
                <c:pt idx="266">
                  <c:v>244409.66583795715</c:v>
                </c:pt>
                <c:pt idx="267">
                  <c:v>244409.66583795715</c:v>
                </c:pt>
                <c:pt idx="268">
                  <c:v>244409.66583795715</c:v>
                </c:pt>
                <c:pt idx="269">
                  <c:v>244409.66583795715</c:v>
                </c:pt>
                <c:pt idx="270">
                  <c:v>244409.66583795715</c:v>
                </c:pt>
                <c:pt idx="271">
                  <c:v>244409.66583795715</c:v>
                </c:pt>
                <c:pt idx="272">
                  <c:v>244409.66583795715</c:v>
                </c:pt>
                <c:pt idx="273">
                  <c:v>244409.66583795715</c:v>
                </c:pt>
                <c:pt idx="274">
                  <c:v>244409.66583795715</c:v>
                </c:pt>
                <c:pt idx="275">
                  <c:v>244409.66583795715</c:v>
                </c:pt>
                <c:pt idx="276">
                  <c:v>244409.66583795715</c:v>
                </c:pt>
                <c:pt idx="277">
                  <c:v>234633.27920443885</c:v>
                </c:pt>
                <c:pt idx="278">
                  <c:v>234633.27920443885</c:v>
                </c:pt>
                <c:pt idx="279">
                  <c:v>234633.27920443885</c:v>
                </c:pt>
                <c:pt idx="280">
                  <c:v>234633.27920443885</c:v>
                </c:pt>
                <c:pt idx="281">
                  <c:v>234633.27920443885</c:v>
                </c:pt>
                <c:pt idx="282">
                  <c:v>234633.27920443885</c:v>
                </c:pt>
                <c:pt idx="283">
                  <c:v>234633.27920443885</c:v>
                </c:pt>
                <c:pt idx="284">
                  <c:v>234633.27920443885</c:v>
                </c:pt>
                <c:pt idx="285">
                  <c:v>234633.27920443885</c:v>
                </c:pt>
                <c:pt idx="286">
                  <c:v>234633.27920443885</c:v>
                </c:pt>
                <c:pt idx="287">
                  <c:v>234633.27920443885</c:v>
                </c:pt>
                <c:pt idx="288">
                  <c:v>234633.27920443885</c:v>
                </c:pt>
                <c:pt idx="289">
                  <c:v>225247.94803626128</c:v>
                </c:pt>
                <c:pt idx="290">
                  <c:v>225247.94803626128</c:v>
                </c:pt>
                <c:pt idx="291">
                  <c:v>225247.94803626128</c:v>
                </c:pt>
                <c:pt idx="292">
                  <c:v>225247.94803626128</c:v>
                </c:pt>
                <c:pt idx="293">
                  <c:v>225247.94803626128</c:v>
                </c:pt>
                <c:pt idx="294">
                  <c:v>225247.94803626128</c:v>
                </c:pt>
                <c:pt idx="295">
                  <c:v>225247.94803626128</c:v>
                </c:pt>
                <c:pt idx="296">
                  <c:v>225247.94803626128</c:v>
                </c:pt>
                <c:pt idx="297">
                  <c:v>225247.94803626128</c:v>
                </c:pt>
                <c:pt idx="298">
                  <c:v>225247.94803626128</c:v>
                </c:pt>
                <c:pt idx="299">
                  <c:v>225247.94803626128</c:v>
                </c:pt>
                <c:pt idx="300">
                  <c:v>225247.94803626128</c:v>
                </c:pt>
                <c:pt idx="301">
                  <c:v>216238.03011481086</c:v>
                </c:pt>
                <c:pt idx="302">
                  <c:v>216238.03011481086</c:v>
                </c:pt>
                <c:pt idx="303">
                  <c:v>216238.03011481086</c:v>
                </c:pt>
                <c:pt idx="304">
                  <c:v>216238.03011481086</c:v>
                </c:pt>
                <c:pt idx="305">
                  <c:v>216238.03011481086</c:v>
                </c:pt>
                <c:pt idx="306">
                  <c:v>216238.03011481086</c:v>
                </c:pt>
                <c:pt idx="307">
                  <c:v>216238.03011481086</c:v>
                </c:pt>
                <c:pt idx="308">
                  <c:v>216238.03011481086</c:v>
                </c:pt>
                <c:pt idx="309">
                  <c:v>216238.03011481086</c:v>
                </c:pt>
                <c:pt idx="310">
                  <c:v>216238.03011481086</c:v>
                </c:pt>
                <c:pt idx="311">
                  <c:v>216238.03011481086</c:v>
                </c:pt>
                <c:pt idx="312">
                  <c:v>216238.03011481086</c:v>
                </c:pt>
                <c:pt idx="313">
                  <c:v>207588.5089102184</c:v>
                </c:pt>
                <c:pt idx="314">
                  <c:v>207588.5089102184</c:v>
                </c:pt>
                <c:pt idx="315">
                  <c:v>207588.5089102184</c:v>
                </c:pt>
                <c:pt idx="316">
                  <c:v>207588.5089102184</c:v>
                </c:pt>
                <c:pt idx="317">
                  <c:v>207588.5089102184</c:v>
                </c:pt>
                <c:pt idx="318">
                  <c:v>207588.5089102184</c:v>
                </c:pt>
                <c:pt idx="319">
                  <c:v>207588.5089102184</c:v>
                </c:pt>
                <c:pt idx="320">
                  <c:v>207588.5089102184</c:v>
                </c:pt>
                <c:pt idx="321">
                  <c:v>207588.5089102184</c:v>
                </c:pt>
                <c:pt idx="322">
                  <c:v>207588.5089102184</c:v>
                </c:pt>
                <c:pt idx="323">
                  <c:v>207588.5089102184</c:v>
                </c:pt>
                <c:pt idx="324">
                  <c:v>207588.5089102184</c:v>
                </c:pt>
                <c:pt idx="325">
                  <c:v>199284.96855380962</c:v>
                </c:pt>
                <c:pt idx="326">
                  <c:v>199284.96855380962</c:v>
                </c:pt>
                <c:pt idx="327">
                  <c:v>199284.96855380962</c:v>
                </c:pt>
                <c:pt idx="328">
                  <c:v>199284.96855380962</c:v>
                </c:pt>
                <c:pt idx="329">
                  <c:v>199284.96855380962</c:v>
                </c:pt>
                <c:pt idx="330">
                  <c:v>199284.96855380962</c:v>
                </c:pt>
                <c:pt idx="331">
                  <c:v>199284.96855380962</c:v>
                </c:pt>
                <c:pt idx="332">
                  <c:v>199284.96855380962</c:v>
                </c:pt>
                <c:pt idx="333">
                  <c:v>199284.96855380962</c:v>
                </c:pt>
                <c:pt idx="334">
                  <c:v>199284.96855380962</c:v>
                </c:pt>
                <c:pt idx="335">
                  <c:v>199284.96855380962</c:v>
                </c:pt>
                <c:pt idx="336">
                  <c:v>199284.96855380962</c:v>
                </c:pt>
                <c:pt idx="337">
                  <c:v>191313.56981165725</c:v>
                </c:pt>
                <c:pt idx="338">
                  <c:v>191313.56981165725</c:v>
                </c:pt>
                <c:pt idx="339">
                  <c:v>191313.56981165725</c:v>
                </c:pt>
                <c:pt idx="340">
                  <c:v>191313.56981165725</c:v>
                </c:pt>
                <c:pt idx="341">
                  <c:v>191313.56981165725</c:v>
                </c:pt>
                <c:pt idx="342">
                  <c:v>191313.56981165725</c:v>
                </c:pt>
                <c:pt idx="343">
                  <c:v>191313.56981165725</c:v>
                </c:pt>
                <c:pt idx="344">
                  <c:v>191313.56981165725</c:v>
                </c:pt>
                <c:pt idx="345">
                  <c:v>191313.56981165725</c:v>
                </c:pt>
                <c:pt idx="346">
                  <c:v>191313.56981165725</c:v>
                </c:pt>
                <c:pt idx="347">
                  <c:v>191313.56981165725</c:v>
                </c:pt>
                <c:pt idx="348">
                  <c:v>191313.56981165725</c:v>
                </c:pt>
                <c:pt idx="349">
                  <c:v>183661.02701919095</c:v>
                </c:pt>
                <c:pt idx="350">
                  <c:v>183661.02701919095</c:v>
                </c:pt>
                <c:pt idx="351">
                  <c:v>183661.02701919095</c:v>
                </c:pt>
                <c:pt idx="352">
                  <c:v>183661.02701919095</c:v>
                </c:pt>
                <c:pt idx="353">
                  <c:v>183661.02701919095</c:v>
                </c:pt>
                <c:pt idx="354">
                  <c:v>183661.02701919095</c:v>
                </c:pt>
                <c:pt idx="355">
                  <c:v>183661.02701919095</c:v>
                </c:pt>
                <c:pt idx="356">
                  <c:v>183661.02701919095</c:v>
                </c:pt>
                <c:pt idx="357">
                  <c:v>183661.02701919095</c:v>
                </c:pt>
                <c:pt idx="358">
                  <c:v>183661.02701919095</c:v>
                </c:pt>
                <c:pt idx="359">
                  <c:v>183661.02701919095</c:v>
                </c:pt>
                <c:pt idx="360">
                  <c:v>183661.02701919095</c:v>
                </c:pt>
                <c:pt idx="361">
                  <c:v>176314.58593842332</c:v>
                </c:pt>
                <c:pt idx="362">
                  <c:v>176314.58593842332</c:v>
                </c:pt>
                <c:pt idx="363">
                  <c:v>176314.58593842332</c:v>
                </c:pt>
                <c:pt idx="364">
                  <c:v>176314.58593842332</c:v>
                </c:pt>
                <c:pt idx="365">
                  <c:v>176314.58593842332</c:v>
                </c:pt>
                <c:pt idx="366">
                  <c:v>176314.58593842332</c:v>
                </c:pt>
                <c:pt idx="367">
                  <c:v>176314.58593842332</c:v>
                </c:pt>
                <c:pt idx="368">
                  <c:v>176314.58593842332</c:v>
                </c:pt>
                <c:pt idx="369">
                  <c:v>176314.58593842332</c:v>
                </c:pt>
                <c:pt idx="370">
                  <c:v>176314.58593842332</c:v>
                </c:pt>
                <c:pt idx="371">
                  <c:v>176314.58593842332</c:v>
                </c:pt>
                <c:pt idx="372">
                  <c:v>176314.58593842332</c:v>
                </c:pt>
                <c:pt idx="373">
                  <c:v>169262.00250088636</c:v>
                </c:pt>
                <c:pt idx="374">
                  <c:v>169262.00250088636</c:v>
                </c:pt>
                <c:pt idx="375">
                  <c:v>169262.00250088636</c:v>
                </c:pt>
                <c:pt idx="376">
                  <c:v>169262.00250088636</c:v>
                </c:pt>
                <c:pt idx="377">
                  <c:v>169262.00250088636</c:v>
                </c:pt>
                <c:pt idx="378">
                  <c:v>169262.00250088636</c:v>
                </c:pt>
                <c:pt idx="379">
                  <c:v>169262.00250088636</c:v>
                </c:pt>
                <c:pt idx="380">
                  <c:v>169262.00250088636</c:v>
                </c:pt>
                <c:pt idx="381">
                  <c:v>169262.00250088636</c:v>
                </c:pt>
                <c:pt idx="382">
                  <c:v>169262.00250088636</c:v>
                </c:pt>
                <c:pt idx="383">
                  <c:v>169262.00250088636</c:v>
                </c:pt>
                <c:pt idx="384">
                  <c:v>169262.00250088636</c:v>
                </c:pt>
                <c:pt idx="385">
                  <c:v>162491.52240085092</c:v>
                </c:pt>
                <c:pt idx="386">
                  <c:v>162491.52240085092</c:v>
                </c:pt>
                <c:pt idx="387">
                  <c:v>162491.52240085092</c:v>
                </c:pt>
                <c:pt idx="388">
                  <c:v>162491.52240085092</c:v>
                </c:pt>
                <c:pt idx="389">
                  <c:v>162491.52240085092</c:v>
                </c:pt>
                <c:pt idx="390">
                  <c:v>162491.52240085092</c:v>
                </c:pt>
                <c:pt idx="391">
                  <c:v>162491.52240085092</c:v>
                </c:pt>
                <c:pt idx="392">
                  <c:v>162491.52240085092</c:v>
                </c:pt>
                <c:pt idx="393">
                  <c:v>162491.52240085092</c:v>
                </c:pt>
                <c:pt idx="394">
                  <c:v>162491.52240085092</c:v>
                </c:pt>
                <c:pt idx="395">
                  <c:v>162491.52240085092</c:v>
                </c:pt>
                <c:pt idx="396">
                  <c:v>162491.52240085092</c:v>
                </c:pt>
                <c:pt idx="397">
                  <c:v>155991.86150481689</c:v>
                </c:pt>
                <c:pt idx="398">
                  <c:v>155991.86150481689</c:v>
                </c:pt>
                <c:pt idx="399">
                  <c:v>155991.86150481689</c:v>
                </c:pt>
                <c:pt idx="400">
                  <c:v>155991.86150481689</c:v>
                </c:pt>
                <c:pt idx="401">
                  <c:v>155991.86150481689</c:v>
                </c:pt>
                <c:pt idx="402">
                  <c:v>155991.86150481689</c:v>
                </c:pt>
                <c:pt idx="403">
                  <c:v>155991.86150481689</c:v>
                </c:pt>
                <c:pt idx="404">
                  <c:v>155991.86150481689</c:v>
                </c:pt>
                <c:pt idx="405">
                  <c:v>155991.86150481689</c:v>
                </c:pt>
                <c:pt idx="406">
                  <c:v>155991.86150481689</c:v>
                </c:pt>
                <c:pt idx="407">
                  <c:v>155991.86150481689</c:v>
                </c:pt>
                <c:pt idx="408">
                  <c:v>155991.86150481689</c:v>
                </c:pt>
                <c:pt idx="409">
                  <c:v>149752.18704462421</c:v>
                </c:pt>
                <c:pt idx="410">
                  <c:v>149752.18704462421</c:v>
                </c:pt>
                <c:pt idx="411">
                  <c:v>149752.18704462421</c:v>
                </c:pt>
                <c:pt idx="412">
                  <c:v>149752.18704462421</c:v>
                </c:pt>
                <c:pt idx="413">
                  <c:v>149752.18704462421</c:v>
                </c:pt>
                <c:pt idx="414">
                  <c:v>149752.18704462421</c:v>
                </c:pt>
                <c:pt idx="415">
                  <c:v>149752.18704462421</c:v>
                </c:pt>
                <c:pt idx="416">
                  <c:v>149752.18704462421</c:v>
                </c:pt>
                <c:pt idx="417">
                  <c:v>149752.18704462421</c:v>
                </c:pt>
                <c:pt idx="418">
                  <c:v>149752.18704462421</c:v>
                </c:pt>
                <c:pt idx="419">
                  <c:v>149752.18704462421</c:v>
                </c:pt>
                <c:pt idx="420">
                  <c:v>149752.18704462421</c:v>
                </c:pt>
                <c:pt idx="421">
                  <c:v>143762.09956283926</c:v>
                </c:pt>
                <c:pt idx="422">
                  <c:v>143762.09956283926</c:v>
                </c:pt>
                <c:pt idx="423">
                  <c:v>143762.09956283926</c:v>
                </c:pt>
                <c:pt idx="424">
                  <c:v>143762.09956283926</c:v>
                </c:pt>
                <c:pt idx="425">
                  <c:v>143762.09956283926</c:v>
                </c:pt>
                <c:pt idx="426">
                  <c:v>143762.09956283926</c:v>
                </c:pt>
                <c:pt idx="427">
                  <c:v>143762.09956283926</c:v>
                </c:pt>
                <c:pt idx="428">
                  <c:v>143762.09956283926</c:v>
                </c:pt>
                <c:pt idx="429">
                  <c:v>143762.09956283926</c:v>
                </c:pt>
                <c:pt idx="430">
                  <c:v>143762.09956283926</c:v>
                </c:pt>
                <c:pt idx="431">
                  <c:v>143762.09956283926</c:v>
                </c:pt>
                <c:pt idx="432">
                  <c:v>143762.09956283926</c:v>
                </c:pt>
                <c:pt idx="433">
                  <c:v>138011.61558032566</c:v>
                </c:pt>
                <c:pt idx="434">
                  <c:v>138011.61558032566</c:v>
                </c:pt>
                <c:pt idx="435">
                  <c:v>138011.61558032566</c:v>
                </c:pt>
                <c:pt idx="436">
                  <c:v>138011.61558032566</c:v>
                </c:pt>
                <c:pt idx="437">
                  <c:v>138011.61558032566</c:v>
                </c:pt>
                <c:pt idx="438">
                  <c:v>138011.61558032566</c:v>
                </c:pt>
                <c:pt idx="439">
                  <c:v>138011.61558032566</c:v>
                </c:pt>
                <c:pt idx="440">
                  <c:v>138011.61558032566</c:v>
                </c:pt>
                <c:pt idx="441">
                  <c:v>138011.61558032566</c:v>
                </c:pt>
                <c:pt idx="442">
                  <c:v>138011.61558032566</c:v>
                </c:pt>
                <c:pt idx="443">
                  <c:v>138011.61558032566</c:v>
                </c:pt>
                <c:pt idx="444">
                  <c:v>138011.61558032566</c:v>
                </c:pt>
                <c:pt idx="445">
                  <c:v>132491.15095711264</c:v>
                </c:pt>
                <c:pt idx="446">
                  <c:v>132491.15095711264</c:v>
                </c:pt>
                <c:pt idx="447">
                  <c:v>132491.15095711264</c:v>
                </c:pt>
                <c:pt idx="448">
                  <c:v>132491.15095711264</c:v>
                </c:pt>
                <c:pt idx="449">
                  <c:v>132491.15095711264</c:v>
                </c:pt>
                <c:pt idx="450">
                  <c:v>132491.15095711264</c:v>
                </c:pt>
                <c:pt idx="451">
                  <c:v>132491.15095711264</c:v>
                </c:pt>
                <c:pt idx="452">
                  <c:v>132491.15095711264</c:v>
                </c:pt>
                <c:pt idx="453">
                  <c:v>132491.15095711264</c:v>
                </c:pt>
                <c:pt idx="454">
                  <c:v>132491.15095711264</c:v>
                </c:pt>
                <c:pt idx="455">
                  <c:v>132491.15095711264</c:v>
                </c:pt>
                <c:pt idx="456">
                  <c:v>132491.15095711264</c:v>
                </c:pt>
                <c:pt idx="457">
                  <c:v>127191.50491882811</c:v>
                </c:pt>
                <c:pt idx="458">
                  <c:v>127191.50491882811</c:v>
                </c:pt>
                <c:pt idx="459">
                  <c:v>127191.50491882811</c:v>
                </c:pt>
                <c:pt idx="460">
                  <c:v>127191.50491882811</c:v>
                </c:pt>
                <c:pt idx="461">
                  <c:v>127191.50491882811</c:v>
                </c:pt>
                <c:pt idx="462">
                  <c:v>127191.50491882811</c:v>
                </c:pt>
                <c:pt idx="463">
                  <c:v>127191.50491882811</c:v>
                </c:pt>
                <c:pt idx="464">
                  <c:v>127191.50491882811</c:v>
                </c:pt>
                <c:pt idx="465">
                  <c:v>127191.50491882811</c:v>
                </c:pt>
                <c:pt idx="466">
                  <c:v>127191.50491882811</c:v>
                </c:pt>
                <c:pt idx="467">
                  <c:v>127191.50491882811</c:v>
                </c:pt>
                <c:pt idx="468">
                  <c:v>127191.50491882811</c:v>
                </c:pt>
                <c:pt idx="469">
                  <c:v>122103.84472207498</c:v>
                </c:pt>
                <c:pt idx="470">
                  <c:v>122103.84472207498</c:v>
                </c:pt>
                <c:pt idx="471">
                  <c:v>122103.84472207498</c:v>
                </c:pt>
                <c:pt idx="472">
                  <c:v>122103.84472207498</c:v>
                </c:pt>
                <c:pt idx="473">
                  <c:v>122103.84472207498</c:v>
                </c:pt>
                <c:pt idx="474">
                  <c:v>122103.84472207498</c:v>
                </c:pt>
                <c:pt idx="475">
                  <c:v>122103.84472207498</c:v>
                </c:pt>
                <c:pt idx="476">
                  <c:v>122103.84472207498</c:v>
                </c:pt>
                <c:pt idx="477">
                  <c:v>122103.84472207498</c:v>
                </c:pt>
                <c:pt idx="478">
                  <c:v>122103.84472207498</c:v>
                </c:pt>
                <c:pt idx="479">
                  <c:v>122103.84472207498</c:v>
                </c:pt>
                <c:pt idx="480">
                  <c:v>122103.84472207498</c:v>
                </c:pt>
                <c:pt idx="481">
                  <c:v>117219.69093319197</c:v>
                </c:pt>
                <c:pt idx="482">
                  <c:v>117219.69093319197</c:v>
                </c:pt>
                <c:pt idx="483">
                  <c:v>117219.69093319197</c:v>
                </c:pt>
                <c:pt idx="484">
                  <c:v>117219.69093319197</c:v>
                </c:pt>
                <c:pt idx="485">
                  <c:v>117219.69093319197</c:v>
                </c:pt>
                <c:pt idx="486">
                  <c:v>117219.69093319197</c:v>
                </c:pt>
                <c:pt idx="487">
                  <c:v>117219.69093319197</c:v>
                </c:pt>
                <c:pt idx="488">
                  <c:v>117219.69093319197</c:v>
                </c:pt>
                <c:pt idx="489">
                  <c:v>117219.69093319197</c:v>
                </c:pt>
                <c:pt idx="490">
                  <c:v>117219.69093319197</c:v>
                </c:pt>
                <c:pt idx="491">
                  <c:v>117219.69093319197</c:v>
                </c:pt>
                <c:pt idx="492">
                  <c:v>117219.69093319197</c:v>
                </c:pt>
                <c:pt idx="493">
                  <c:v>112530.90329586429</c:v>
                </c:pt>
                <c:pt idx="494">
                  <c:v>112530.90329586429</c:v>
                </c:pt>
                <c:pt idx="495">
                  <c:v>112530.90329586429</c:v>
                </c:pt>
                <c:pt idx="496">
                  <c:v>112530.90329586429</c:v>
                </c:pt>
                <c:pt idx="497">
                  <c:v>112530.90329586429</c:v>
                </c:pt>
                <c:pt idx="498">
                  <c:v>112530.90329586429</c:v>
                </c:pt>
                <c:pt idx="499">
                  <c:v>112530.90329586429</c:v>
                </c:pt>
                <c:pt idx="500">
                  <c:v>112530.90329586429</c:v>
                </c:pt>
                <c:pt idx="501">
                  <c:v>112530.90329586429</c:v>
                </c:pt>
                <c:pt idx="502">
                  <c:v>112530.90329586429</c:v>
                </c:pt>
                <c:pt idx="503">
                  <c:v>112530.90329586429</c:v>
                </c:pt>
                <c:pt idx="504">
                  <c:v>112530.90329586429</c:v>
                </c:pt>
                <c:pt idx="505">
                  <c:v>108029.66716402973</c:v>
                </c:pt>
                <c:pt idx="506">
                  <c:v>108029.66716402973</c:v>
                </c:pt>
                <c:pt idx="507">
                  <c:v>108029.66716402973</c:v>
                </c:pt>
                <c:pt idx="508">
                  <c:v>108029.66716402973</c:v>
                </c:pt>
                <c:pt idx="509">
                  <c:v>108029.66716402973</c:v>
                </c:pt>
                <c:pt idx="510">
                  <c:v>108029.66716402973</c:v>
                </c:pt>
                <c:pt idx="511">
                  <c:v>108029.66716402973</c:v>
                </c:pt>
                <c:pt idx="512">
                  <c:v>108029.66716402973</c:v>
                </c:pt>
                <c:pt idx="513">
                  <c:v>108029.66716402973</c:v>
                </c:pt>
                <c:pt idx="514">
                  <c:v>108029.66716402973</c:v>
                </c:pt>
                <c:pt idx="515">
                  <c:v>108029.66716402973</c:v>
                </c:pt>
                <c:pt idx="516">
                  <c:v>108029.66716402973</c:v>
                </c:pt>
                <c:pt idx="517">
                  <c:v>103708.48047746853</c:v>
                </c:pt>
                <c:pt idx="518">
                  <c:v>103708.48047746853</c:v>
                </c:pt>
                <c:pt idx="519">
                  <c:v>103708.48047746853</c:v>
                </c:pt>
                <c:pt idx="520">
                  <c:v>103708.48047746853</c:v>
                </c:pt>
                <c:pt idx="521">
                  <c:v>103708.48047746853</c:v>
                </c:pt>
                <c:pt idx="522">
                  <c:v>103708.48047746853</c:v>
                </c:pt>
                <c:pt idx="523">
                  <c:v>103708.48047746853</c:v>
                </c:pt>
                <c:pt idx="524">
                  <c:v>103708.48047746853</c:v>
                </c:pt>
                <c:pt idx="525">
                  <c:v>103708.48047746853</c:v>
                </c:pt>
                <c:pt idx="526">
                  <c:v>103708.48047746853</c:v>
                </c:pt>
                <c:pt idx="527">
                  <c:v>103708.48047746853</c:v>
                </c:pt>
                <c:pt idx="528">
                  <c:v>103708.48047746853</c:v>
                </c:pt>
                <c:pt idx="529">
                  <c:v>99560.141258369782</c:v>
                </c:pt>
                <c:pt idx="530">
                  <c:v>99560.141258369782</c:v>
                </c:pt>
                <c:pt idx="531">
                  <c:v>99560.141258369782</c:v>
                </c:pt>
                <c:pt idx="532">
                  <c:v>99560.141258369782</c:v>
                </c:pt>
                <c:pt idx="533">
                  <c:v>99560.141258369782</c:v>
                </c:pt>
                <c:pt idx="534">
                  <c:v>99560.141258369782</c:v>
                </c:pt>
                <c:pt idx="535">
                  <c:v>99560.141258369782</c:v>
                </c:pt>
                <c:pt idx="536">
                  <c:v>99560.141258369782</c:v>
                </c:pt>
                <c:pt idx="537">
                  <c:v>99560.141258369782</c:v>
                </c:pt>
                <c:pt idx="538">
                  <c:v>99560.141258369782</c:v>
                </c:pt>
                <c:pt idx="539">
                  <c:v>99560.141258369782</c:v>
                </c:pt>
                <c:pt idx="540">
                  <c:v>99560.141258369782</c:v>
                </c:pt>
                <c:pt idx="541">
                  <c:v>95577.735608035</c:v>
                </c:pt>
                <c:pt idx="542">
                  <c:v>95577.735608035</c:v>
                </c:pt>
                <c:pt idx="543">
                  <c:v>95577.735608035</c:v>
                </c:pt>
                <c:pt idx="544">
                  <c:v>95577.735608035</c:v>
                </c:pt>
                <c:pt idx="545">
                  <c:v>95577.735608035</c:v>
                </c:pt>
                <c:pt idx="546">
                  <c:v>95577.735608035</c:v>
                </c:pt>
                <c:pt idx="547">
                  <c:v>95577.735608035</c:v>
                </c:pt>
                <c:pt idx="548">
                  <c:v>95577.735608035</c:v>
                </c:pt>
                <c:pt idx="549">
                  <c:v>95577.735608035</c:v>
                </c:pt>
                <c:pt idx="550">
                  <c:v>95577.735608035</c:v>
                </c:pt>
                <c:pt idx="551">
                  <c:v>95577.735608035</c:v>
                </c:pt>
                <c:pt idx="552">
                  <c:v>95577.735608035</c:v>
                </c:pt>
                <c:pt idx="553">
                  <c:v>91754.626183713583</c:v>
                </c:pt>
                <c:pt idx="554">
                  <c:v>91754.626183713583</c:v>
                </c:pt>
                <c:pt idx="555">
                  <c:v>91754.626183713583</c:v>
                </c:pt>
                <c:pt idx="556">
                  <c:v>91754.626183713583</c:v>
                </c:pt>
                <c:pt idx="557">
                  <c:v>91754.626183713583</c:v>
                </c:pt>
                <c:pt idx="558">
                  <c:v>91754.626183713583</c:v>
                </c:pt>
                <c:pt idx="559">
                  <c:v>91754.626183713583</c:v>
                </c:pt>
                <c:pt idx="560">
                  <c:v>91754.626183713583</c:v>
                </c:pt>
                <c:pt idx="561">
                  <c:v>91754.626183713583</c:v>
                </c:pt>
                <c:pt idx="562">
                  <c:v>91754.626183713583</c:v>
                </c:pt>
                <c:pt idx="563">
                  <c:v>91754.626183713583</c:v>
                </c:pt>
                <c:pt idx="564">
                  <c:v>91754.626183713583</c:v>
                </c:pt>
                <c:pt idx="565">
                  <c:v>88084.441136365029</c:v>
                </c:pt>
                <c:pt idx="566">
                  <c:v>88084.441136365029</c:v>
                </c:pt>
                <c:pt idx="567">
                  <c:v>88084.441136365029</c:v>
                </c:pt>
                <c:pt idx="568">
                  <c:v>88084.441136365029</c:v>
                </c:pt>
                <c:pt idx="569">
                  <c:v>88084.441136365029</c:v>
                </c:pt>
                <c:pt idx="570">
                  <c:v>88084.441136365029</c:v>
                </c:pt>
                <c:pt idx="571">
                  <c:v>88084.441136365029</c:v>
                </c:pt>
                <c:pt idx="572">
                  <c:v>88084.441136365029</c:v>
                </c:pt>
                <c:pt idx="573">
                  <c:v>88084.441136365029</c:v>
                </c:pt>
                <c:pt idx="574">
                  <c:v>88084.441136365029</c:v>
                </c:pt>
                <c:pt idx="575">
                  <c:v>88084.441136365029</c:v>
                </c:pt>
                <c:pt idx="576">
                  <c:v>88084.441136365029</c:v>
                </c:pt>
                <c:pt idx="577">
                  <c:v>84561.063490910426</c:v>
                </c:pt>
                <c:pt idx="578">
                  <c:v>84561.063490910426</c:v>
                </c:pt>
                <c:pt idx="579">
                  <c:v>84561.063490910426</c:v>
                </c:pt>
                <c:pt idx="580">
                  <c:v>84561.063490910426</c:v>
                </c:pt>
                <c:pt idx="581">
                  <c:v>84561.063490910426</c:v>
                </c:pt>
                <c:pt idx="582">
                  <c:v>84561.063490910426</c:v>
                </c:pt>
                <c:pt idx="583">
                  <c:v>84561.063490910426</c:v>
                </c:pt>
                <c:pt idx="584">
                  <c:v>84561.063490910426</c:v>
                </c:pt>
                <c:pt idx="585">
                  <c:v>84561.063490910426</c:v>
                </c:pt>
                <c:pt idx="586">
                  <c:v>84561.063490910426</c:v>
                </c:pt>
                <c:pt idx="587">
                  <c:v>84561.063490910426</c:v>
                </c:pt>
                <c:pt idx="588">
                  <c:v>84561.063490910426</c:v>
                </c:pt>
                <c:pt idx="589">
                  <c:v>81178.620951274002</c:v>
                </c:pt>
                <c:pt idx="590">
                  <c:v>81178.620951274002</c:v>
                </c:pt>
                <c:pt idx="591">
                  <c:v>81178.620951274002</c:v>
                </c:pt>
                <c:pt idx="592">
                  <c:v>81178.620951274002</c:v>
                </c:pt>
                <c:pt idx="593">
                  <c:v>81178.620951274002</c:v>
                </c:pt>
                <c:pt idx="594">
                  <c:v>81178.620951274002</c:v>
                </c:pt>
                <c:pt idx="595">
                  <c:v>81178.620951274002</c:v>
                </c:pt>
                <c:pt idx="596">
                  <c:v>81178.620951274002</c:v>
                </c:pt>
                <c:pt idx="597">
                  <c:v>81178.620951274002</c:v>
                </c:pt>
                <c:pt idx="598">
                  <c:v>81178.620951274002</c:v>
                </c:pt>
                <c:pt idx="599">
                  <c:v>81178.620951274002</c:v>
                </c:pt>
                <c:pt idx="600">
                  <c:v>81178.620951274002</c:v>
                </c:pt>
                <c:pt idx="601">
                  <c:v>77931.476113223034</c:v>
                </c:pt>
                <c:pt idx="602">
                  <c:v>77931.476113223034</c:v>
                </c:pt>
                <c:pt idx="603">
                  <c:v>77931.476113223034</c:v>
                </c:pt>
                <c:pt idx="604">
                  <c:v>77931.476113223034</c:v>
                </c:pt>
                <c:pt idx="605">
                  <c:v>77931.476113223034</c:v>
                </c:pt>
                <c:pt idx="606">
                  <c:v>77931.476113223034</c:v>
                </c:pt>
                <c:pt idx="607">
                  <c:v>77931.476113223034</c:v>
                </c:pt>
                <c:pt idx="608">
                  <c:v>77931.476113223034</c:v>
                </c:pt>
                <c:pt idx="609">
                  <c:v>77931.476113223034</c:v>
                </c:pt>
                <c:pt idx="610">
                  <c:v>77931.476113223034</c:v>
                </c:pt>
                <c:pt idx="611">
                  <c:v>77931.476113223034</c:v>
                </c:pt>
                <c:pt idx="612">
                  <c:v>77931.476113223034</c:v>
                </c:pt>
                <c:pt idx="613">
                  <c:v>74814.21706869411</c:v>
                </c:pt>
                <c:pt idx="614">
                  <c:v>74814.21706869411</c:v>
                </c:pt>
                <c:pt idx="615">
                  <c:v>74814.21706869411</c:v>
                </c:pt>
                <c:pt idx="616">
                  <c:v>74814.21706869411</c:v>
                </c:pt>
                <c:pt idx="617">
                  <c:v>74814.21706869411</c:v>
                </c:pt>
                <c:pt idx="618">
                  <c:v>74814.21706869411</c:v>
                </c:pt>
                <c:pt idx="619">
                  <c:v>74814.21706869411</c:v>
                </c:pt>
                <c:pt idx="620">
                  <c:v>74814.21706869411</c:v>
                </c:pt>
                <c:pt idx="621">
                  <c:v>74814.21706869411</c:v>
                </c:pt>
                <c:pt idx="622">
                  <c:v>74814.21706869411</c:v>
                </c:pt>
                <c:pt idx="623">
                  <c:v>74814.21706869411</c:v>
                </c:pt>
                <c:pt idx="624">
                  <c:v>74814.21706869411</c:v>
                </c:pt>
                <c:pt idx="625">
                  <c:v>71821.648385946348</c:v>
                </c:pt>
                <c:pt idx="626">
                  <c:v>71821.648385946348</c:v>
                </c:pt>
                <c:pt idx="627">
                  <c:v>71821.648385946348</c:v>
                </c:pt>
                <c:pt idx="628">
                  <c:v>71821.648385946348</c:v>
                </c:pt>
                <c:pt idx="629">
                  <c:v>71821.648385946348</c:v>
                </c:pt>
                <c:pt idx="630">
                  <c:v>71821.648385946348</c:v>
                </c:pt>
                <c:pt idx="631">
                  <c:v>71821.648385946348</c:v>
                </c:pt>
                <c:pt idx="632">
                  <c:v>71821.648385946348</c:v>
                </c:pt>
                <c:pt idx="633">
                  <c:v>71821.648385946348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9E-471E-8963-96354D0D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99976"/>
        <c:axId val="166093832"/>
      </c:lineChart>
      <c:catAx>
        <c:axId val="166099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093832"/>
        <c:crosses val="autoZero"/>
        <c:auto val="1"/>
        <c:lblAlgn val="ctr"/>
        <c:lblOffset val="100"/>
        <c:noMultiLvlLbl val="0"/>
      </c:catAx>
      <c:valAx>
        <c:axId val="1660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Amount of B3TR Emmited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out"/>
        <c:tickLblPos val="low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09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solidFill>
            <a:srgbClr val="D9D9D9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08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942975</xdr:colOff>
      <xdr:row>654</xdr:row>
      <xdr:rowOff>85725</xdr:rowOff>
    </xdr:from>
    <xdr:to>
      <xdr:col>13</xdr:col>
      <xdr:colOff>266700</xdr:colOff>
      <xdr:row>679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88D498-2485-C157-0950-C240E911B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7"/>
  <sheetViews>
    <sheetView tabSelected="1" topLeftCell="A616" workbookViewId="0">
      <selection activeCell="C118" sqref="C118"/>
    </sheetView>
  </sheetViews>
  <sheetFormatPr defaultRowHeight="15"/>
  <cols>
    <col min="1" max="1" width="27.140625" bestFit="1" customWidth="1"/>
    <col min="2" max="2" width="32.42578125" bestFit="1" customWidth="1"/>
    <col min="3" max="3" width="21.5703125" customWidth="1"/>
    <col min="4" max="4" width="17.5703125" customWidth="1"/>
    <col min="5" max="5" width="17" bestFit="1" customWidth="1"/>
    <col min="6" max="6" width="20.28515625" bestFit="1" customWidth="1"/>
    <col min="7" max="7" width="20.28515625" customWidth="1"/>
    <col min="8" max="8" width="20.28515625" style="5" customWidth="1"/>
    <col min="9" max="9" width="17.28515625" style="9" customWidth="1"/>
    <col min="10" max="10" width="13.85546875" style="9" customWidth="1"/>
    <col min="11" max="12" width="14.85546875" customWidth="1"/>
    <col min="13" max="13" width="23.5703125" bestFit="1" customWidth="1"/>
    <col min="14" max="14" width="23.7109375" customWidth="1"/>
    <col min="15" max="15" width="29.5703125" bestFit="1" customWidth="1"/>
    <col min="16" max="16" width="17.7109375" bestFit="1" customWidth="1"/>
    <col min="17" max="20" width="1.7109375" bestFit="1" customWidth="1"/>
  </cols>
  <sheetData>
    <row r="1" spans="1:20" ht="15.75">
      <c r="A1" s="1" t="s">
        <v>0</v>
      </c>
      <c r="B1" s="14">
        <v>1000000000</v>
      </c>
      <c r="C1" s="1" t="s">
        <v>1</v>
      </c>
      <c r="D1" s="1"/>
      <c r="E1" s="1"/>
      <c r="F1" s="1"/>
      <c r="G1" s="1" t="s">
        <v>2</v>
      </c>
      <c r="H1" s="4"/>
      <c r="I1" s="7" t="s">
        <v>3</v>
      </c>
      <c r="J1" s="7">
        <v>0.04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>
      <c r="A2" s="1"/>
      <c r="B2" s="1"/>
      <c r="C2" s="1"/>
      <c r="D2" s="1"/>
      <c r="E2" s="1"/>
      <c r="G2" t="s">
        <v>4</v>
      </c>
      <c r="H2" s="33">
        <v>1</v>
      </c>
      <c r="L2" s="1"/>
      <c r="M2" s="1" t="s">
        <v>5</v>
      </c>
      <c r="N2" s="1" t="s">
        <v>6</v>
      </c>
      <c r="O2" s="1"/>
      <c r="P2" s="1"/>
      <c r="Q2" s="1"/>
      <c r="R2" s="1"/>
      <c r="S2" s="1"/>
      <c r="T2" s="1"/>
    </row>
    <row r="3" spans="1:20" ht="15.75">
      <c r="A3" s="1"/>
      <c r="B3" s="1"/>
      <c r="C3" s="1"/>
      <c r="D3" s="1"/>
      <c r="E3" s="1"/>
      <c r="G3" t="s">
        <v>7</v>
      </c>
      <c r="H3" s="33">
        <v>0.8</v>
      </c>
      <c r="L3" s="1"/>
      <c r="M3" s="1" t="s">
        <v>8</v>
      </c>
      <c r="N3" s="2">
        <v>0.25</v>
      </c>
      <c r="O3" s="1"/>
      <c r="P3" s="1"/>
      <c r="Q3" s="1"/>
      <c r="R3" s="1"/>
      <c r="S3" s="1"/>
      <c r="T3" s="1"/>
    </row>
    <row r="4" spans="1:20" ht="15.75">
      <c r="A4" s="1"/>
      <c r="B4" s="1"/>
      <c r="C4" s="1"/>
      <c r="D4" s="1"/>
      <c r="E4" s="1"/>
      <c r="G4" t="s">
        <v>9</v>
      </c>
      <c r="H4" s="33">
        <v>0.6</v>
      </c>
      <c r="L4" s="1"/>
      <c r="M4" s="1" t="s">
        <v>10</v>
      </c>
      <c r="N4" s="2">
        <v>1</v>
      </c>
      <c r="O4" s="1"/>
      <c r="P4" s="1"/>
      <c r="Q4" s="1"/>
      <c r="R4" s="1"/>
      <c r="S4" s="1"/>
      <c r="T4" s="1"/>
    </row>
    <row r="5" spans="1:20" ht="15.75">
      <c r="A5" s="1"/>
      <c r="B5" s="1"/>
      <c r="C5" s="1"/>
      <c r="D5" s="1"/>
      <c r="E5" s="1"/>
      <c r="G5" t="s">
        <v>11</v>
      </c>
      <c r="H5" s="33">
        <v>0.4</v>
      </c>
      <c r="L5" s="1"/>
      <c r="M5" s="1" t="s">
        <v>12</v>
      </c>
      <c r="N5" s="2">
        <v>0.8</v>
      </c>
      <c r="O5" s="1"/>
      <c r="P5" s="1"/>
      <c r="Q5" s="1"/>
      <c r="R5" s="1"/>
      <c r="S5" s="1"/>
      <c r="T5" s="1"/>
    </row>
    <row r="6" spans="1:20" ht="15.75">
      <c r="A6" s="1"/>
      <c r="B6" s="1"/>
      <c r="C6" s="1"/>
      <c r="D6" s="1"/>
      <c r="E6" s="1"/>
      <c r="G6" t="s">
        <v>13</v>
      </c>
      <c r="H6" s="33">
        <v>0.2</v>
      </c>
      <c r="L6" s="1"/>
      <c r="M6" s="1" t="s">
        <v>14</v>
      </c>
      <c r="N6" s="2">
        <v>0.6</v>
      </c>
      <c r="O6" s="1"/>
      <c r="P6" s="1"/>
      <c r="Q6" s="1"/>
      <c r="R6" s="1"/>
      <c r="S6" s="1"/>
      <c r="T6" s="1"/>
    </row>
    <row r="7" spans="1:20" ht="15.75">
      <c r="A7" s="1"/>
      <c r="B7" s="1"/>
      <c r="C7" s="1"/>
      <c r="D7" s="1"/>
      <c r="E7" s="1"/>
      <c r="L7" s="1"/>
      <c r="M7" s="1"/>
      <c r="N7" s="2"/>
      <c r="O7" s="1"/>
      <c r="P7" s="1"/>
      <c r="Q7" s="1"/>
      <c r="R7" s="1"/>
      <c r="S7" s="1"/>
      <c r="T7" s="1"/>
    </row>
    <row r="8" spans="1:20" ht="15.75">
      <c r="A8" s="1" t="s">
        <v>15</v>
      </c>
      <c r="B8" s="1" t="s">
        <v>16</v>
      </c>
      <c r="C8" s="1"/>
      <c r="D8" s="1"/>
      <c r="E8" s="1" t="s">
        <v>17</v>
      </c>
      <c r="F8" t="s">
        <v>18</v>
      </c>
      <c r="G8" t="s">
        <v>19</v>
      </c>
      <c r="L8" s="1"/>
      <c r="M8" s="1" t="s">
        <v>20</v>
      </c>
      <c r="N8" s="2">
        <v>0.4</v>
      </c>
      <c r="O8" s="1"/>
      <c r="P8" s="1"/>
      <c r="Q8" s="1"/>
      <c r="R8" s="1"/>
      <c r="S8" s="1"/>
      <c r="T8" s="1"/>
    </row>
    <row r="9" spans="1:20" ht="15.75">
      <c r="A9" s="1" t="s">
        <v>21</v>
      </c>
      <c r="B9" s="1"/>
      <c r="C9" s="14">
        <f>SUM(E9:G9)</f>
        <v>3000000</v>
      </c>
      <c r="D9" s="1"/>
      <c r="E9" s="14">
        <v>1000000</v>
      </c>
      <c r="F9" s="14">
        <v>1000000</v>
      </c>
      <c r="G9" s="14">
        <v>1000000</v>
      </c>
      <c r="L9" s="1"/>
      <c r="M9" s="1" t="s">
        <v>22</v>
      </c>
      <c r="N9" s="2">
        <v>0.2</v>
      </c>
      <c r="O9" s="1"/>
      <c r="P9" s="1"/>
      <c r="Q9" s="1"/>
      <c r="R9" s="1"/>
      <c r="S9" s="1"/>
      <c r="T9" s="1"/>
    </row>
    <row r="10" spans="1:20" ht="15.75">
      <c r="A10" s="1"/>
      <c r="B10" s="1"/>
      <c r="C10" s="1"/>
      <c r="D10" s="1"/>
      <c r="E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>
      <c r="A11" s="1" t="s">
        <v>23</v>
      </c>
      <c r="B11" s="1" t="s">
        <v>24</v>
      </c>
      <c r="C11" s="1"/>
      <c r="D11" s="1"/>
      <c r="E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>
      <c r="A12" s="14">
        <f>F651</f>
        <v>1000000000.0025634</v>
      </c>
      <c r="B12" s="14">
        <f>E652</f>
        <v>200000000.00051174</v>
      </c>
      <c r="C12" s="1"/>
      <c r="D12" s="1"/>
      <c r="E12" s="1"/>
      <c r="F12" s="1"/>
      <c r="G12" s="1"/>
      <c r="H12" s="4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>
      <c r="A13" s="1"/>
      <c r="B13" s="1"/>
      <c r="C13" s="1"/>
      <c r="D13" s="1"/>
      <c r="E13" s="1"/>
      <c r="F13" s="1"/>
      <c r="G13" s="1"/>
      <c r="H13" s="4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>
      <c r="A14" s="1" t="s">
        <v>25</v>
      </c>
      <c r="B14" s="1" t="s">
        <v>26</v>
      </c>
      <c r="C14" s="1"/>
      <c r="D14" s="1"/>
      <c r="E14" s="1"/>
      <c r="F14" s="1"/>
      <c r="G14" s="1"/>
      <c r="H14" s="4"/>
      <c r="I14" s="7"/>
      <c r="J14" s="7"/>
      <c r="K14" s="1"/>
      <c r="L14" s="1"/>
      <c r="M14" s="1" t="s">
        <v>27</v>
      </c>
      <c r="N14" s="1" t="s">
        <v>28</v>
      </c>
      <c r="O14" s="1"/>
      <c r="P14" s="1"/>
      <c r="Q14" s="1"/>
      <c r="R14" s="1"/>
      <c r="S14" s="1"/>
      <c r="T14" s="1"/>
    </row>
    <row r="15" spans="1:20" ht="15.75">
      <c r="A15" s="1"/>
      <c r="B15" s="1"/>
      <c r="C15" s="1"/>
      <c r="D15" s="1"/>
      <c r="E15" s="1"/>
      <c r="F15" s="1"/>
      <c r="G15" s="1"/>
      <c r="H15" s="36" t="s">
        <v>29</v>
      </c>
      <c r="I15" s="36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>
      <c r="A16" s="1" t="s">
        <v>30</v>
      </c>
      <c r="B16" s="1" t="s">
        <v>31</v>
      </c>
      <c r="C16" s="1" t="s">
        <v>32</v>
      </c>
      <c r="D16" s="1" t="s">
        <v>19</v>
      </c>
      <c r="E16" s="1" t="s">
        <v>8</v>
      </c>
      <c r="F16" s="1" t="s">
        <v>33</v>
      </c>
      <c r="G16" s="1"/>
      <c r="H16" s="10" t="s">
        <v>33</v>
      </c>
      <c r="I16" s="11" t="s">
        <v>34</v>
      </c>
      <c r="J16" s="11"/>
      <c r="K16" s="1"/>
      <c r="L16" s="1"/>
      <c r="M16" s="1" t="s">
        <v>35</v>
      </c>
      <c r="N16" s="1" t="s">
        <v>36</v>
      </c>
      <c r="O16" s="1" t="s">
        <v>37</v>
      </c>
      <c r="P16" s="1"/>
      <c r="Q16" s="1"/>
      <c r="R16" s="1"/>
      <c r="S16" s="1"/>
      <c r="T16" s="1"/>
    </row>
    <row r="17" spans="1:20" ht="15.75">
      <c r="A17" s="1" t="s">
        <v>38</v>
      </c>
      <c r="B17" s="14">
        <v>1000000</v>
      </c>
      <c r="C17" s="14">
        <v>1000000</v>
      </c>
      <c r="D17" s="14">
        <v>1000000</v>
      </c>
      <c r="E17" s="14">
        <f>(B17+C17+D17)*25%</f>
        <v>750000</v>
      </c>
      <c r="F17" s="14">
        <f>SUM(B17:E17)</f>
        <v>3750000</v>
      </c>
      <c r="G17" s="1"/>
      <c r="H17" s="4">
        <v>3750000</v>
      </c>
      <c r="I17" s="7"/>
      <c r="J17" s="7"/>
      <c r="K17" s="1"/>
      <c r="L17" s="1"/>
      <c r="M17" s="1" t="s">
        <v>39</v>
      </c>
      <c r="N17" s="1" t="s">
        <v>40</v>
      </c>
      <c r="O17" s="1" t="s">
        <v>41</v>
      </c>
      <c r="P17" s="1" t="s">
        <v>42</v>
      </c>
      <c r="Q17" s="1"/>
      <c r="R17" s="1"/>
      <c r="S17" s="1"/>
      <c r="T17" s="1"/>
    </row>
    <row r="18" spans="1:20" ht="15.75">
      <c r="A18" s="1" t="s">
        <v>43</v>
      </c>
      <c r="B18" s="14">
        <v>2000000</v>
      </c>
      <c r="C18" s="14">
        <f>B18*$H$2</f>
        <v>2000000</v>
      </c>
      <c r="D18" s="14"/>
      <c r="E18" s="14">
        <f>(B18+C18+D18)*25%</f>
        <v>1000000</v>
      </c>
      <c r="F18" s="14">
        <f>F17+SUM(B18:E18)</f>
        <v>8750000</v>
      </c>
      <c r="G18" s="1"/>
      <c r="H18" s="4">
        <v>8750000</v>
      </c>
      <c r="I18" s="7">
        <f>(H18-H17)/H17</f>
        <v>1.3333333333333333</v>
      </c>
      <c r="J18" s="7"/>
      <c r="K18" s="1"/>
      <c r="L18" s="1"/>
      <c r="M18" s="1" t="s">
        <v>44</v>
      </c>
      <c r="N18" s="1" t="s">
        <v>45</v>
      </c>
      <c r="O18" s="1" t="s">
        <v>46</v>
      </c>
      <c r="P18" s="1"/>
      <c r="Q18" s="1"/>
      <c r="R18" s="1"/>
      <c r="S18" s="1"/>
      <c r="T18" s="1"/>
    </row>
    <row r="19" spans="1:20" ht="15.75">
      <c r="A19" s="1" t="s">
        <v>47</v>
      </c>
      <c r="B19" s="14">
        <v>2000000</v>
      </c>
      <c r="C19" s="14">
        <f t="shared" ref="C19:C68" si="0">B19*$H$2</f>
        <v>2000000</v>
      </c>
      <c r="D19" s="14"/>
      <c r="E19" s="14">
        <f t="shared" ref="E19:E82" si="1">(B19+C19+D19)*25%</f>
        <v>1000000</v>
      </c>
      <c r="F19" s="14">
        <f t="shared" ref="F19:F82" si="2">F18+SUM(B19:E19)</f>
        <v>13750000</v>
      </c>
      <c r="G19" s="1"/>
      <c r="H19" s="4">
        <v>13750000</v>
      </c>
      <c r="I19" s="7">
        <f>(H19-H18)/H18</f>
        <v>0.5714285714285714</v>
      </c>
      <c r="J19" s="7"/>
      <c r="K19" s="1"/>
      <c r="L19" s="1"/>
      <c r="M19" s="1"/>
      <c r="N19" s="1" t="s">
        <v>48</v>
      </c>
      <c r="O19" s="1" t="s">
        <v>49</v>
      </c>
      <c r="P19" s="1"/>
      <c r="Q19" s="1"/>
      <c r="R19" s="1"/>
      <c r="S19" s="1"/>
      <c r="T19" s="1"/>
    </row>
    <row r="20" spans="1:20" ht="15.75">
      <c r="A20" s="1" t="s">
        <v>50</v>
      </c>
      <c r="B20" s="14">
        <v>2000000</v>
      </c>
      <c r="C20" s="14">
        <f t="shared" si="0"/>
        <v>2000000</v>
      </c>
      <c r="D20" s="14"/>
      <c r="E20" s="14">
        <f t="shared" si="1"/>
        <v>1000000</v>
      </c>
      <c r="F20" s="14">
        <f t="shared" si="2"/>
        <v>18750000</v>
      </c>
      <c r="G20" s="1"/>
      <c r="H20" s="4">
        <v>18750000</v>
      </c>
      <c r="I20" s="7">
        <f>(H20-H19)/H19</f>
        <v>0.36363636363636365</v>
      </c>
      <c r="J20" s="7"/>
      <c r="K20" s="1"/>
      <c r="L20" s="1"/>
      <c r="M20" s="1"/>
      <c r="N20" s="1" t="s">
        <v>8</v>
      </c>
      <c r="O20" s="1" t="s">
        <v>51</v>
      </c>
      <c r="P20" s="1"/>
      <c r="Q20" s="1"/>
      <c r="R20" s="1"/>
      <c r="S20" s="1"/>
      <c r="T20" s="1"/>
    </row>
    <row r="21" spans="1:20" ht="15.75">
      <c r="A21" s="1" t="s">
        <v>52</v>
      </c>
      <c r="B21" s="14">
        <v>2000000</v>
      </c>
      <c r="C21" s="14">
        <f t="shared" si="0"/>
        <v>2000000</v>
      </c>
      <c r="D21" s="14"/>
      <c r="E21" s="14">
        <f t="shared" si="1"/>
        <v>1000000</v>
      </c>
      <c r="F21" s="14">
        <f t="shared" si="2"/>
        <v>23750000</v>
      </c>
      <c r="G21" s="1"/>
      <c r="H21" s="4">
        <v>23750000</v>
      </c>
      <c r="I21" s="7">
        <f>(H21-H20)/H20</f>
        <v>0.26666666666666666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>
      <c r="A22" s="1" t="s">
        <v>53</v>
      </c>
      <c r="B22" s="14">
        <v>2000000</v>
      </c>
      <c r="C22" s="14">
        <f t="shared" si="0"/>
        <v>2000000</v>
      </c>
      <c r="D22" s="14"/>
      <c r="E22" s="14">
        <f t="shared" si="1"/>
        <v>1000000</v>
      </c>
      <c r="F22" s="14">
        <f t="shared" si="2"/>
        <v>28750000</v>
      </c>
      <c r="G22" s="1"/>
      <c r="H22" s="4">
        <v>28750000</v>
      </c>
      <c r="I22" s="7">
        <f>(H22-H21)/H21</f>
        <v>0.21052631578947367</v>
      </c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>
      <c r="A23" s="1" t="s">
        <v>54</v>
      </c>
      <c r="B23" s="14">
        <v>2000000</v>
      </c>
      <c r="C23" s="14">
        <f t="shared" si="0"/>
        <v>2000000</v>
      </c>
      <c r="D23" s="14"/>
      <c r="E23" s="14">
        <f t="shared" si="1"/>
        <v>1000000</v>
      </c>
      <c r="F23" s="14">
        <f t="shared" si="2"/>
        <v>33750000</v>
      </c>
      <c r="G23" s="1"/>
      <c r="H23" s="4">
        <v>33750000</v>
      </c>
      <c r="I23" s="7">
        <f>(H23-H22)/H22</f>
        <v>0.17391304347826086</v>
      </c>
      <c r="J23" s="7"/>
      <c r="K23" s="1"/>
      <c r="L23" s="1"/>
      <c r="M23" s="36" t="s">
        <v>29</v>
      </c>
      <c r="N23" s="36"/>
      <c r="O23" s="1"/>
      <c r="P23" s="1"/>
      <c r="Q23" s="1"/>
      <c r="R23" s="1"/>
      <c r="S23" s="1"/>
      <c r="T23" s="1"/>
    </row>
    <row r="24" spans="1:20" ht="15.75">
      <c r="A24" s="1" t="s">
        <v>55</v>
      </c>
      <c r="B24" s="14">
        <v>2000000</v>
      </c>
      <c r="C24" s="14">
        <f t="shared" si="0"/>
        <v>2000000</v>
      </c>
      <c r="D24" s="14"/>
      <c r="E24" s="14">
        <f t="shared" si="1"/>
        <v>1000000</v>
      </c>
      <c r="F24" s="14">
        <f t="shared" si="2"/>
        <v>38750000</v>
      </c>
      <c r="G24" s="1"/>
      <c r="H24" s="4">
        <v>38750000</v>
      </c>
      <c r="I24" s="7">
        <f>(H24-H23)/H23</f>
        <v>0.14814814814814814</v>
      </c>
      <c r="J24" s="7"/>
      <c r="K24" s="1"/>
      <c r="L24" s="1"/>
      <c r="M24" s="12" t="s">
        <v>56</v>
      </c>
      <c r="N24" s="12" t="s">
        <v>57</v>
      </c>
      <c r="O24" s="1"/>
      <c r="P24" s="1"/>
      <c r="Q24" s="1"/>
      <c r="R24" s="1"/>
      <c r="S24" s="1"/>
      <c r="T24" s="1"/>
    </row>
    <row r="25" spans="1:20" ht="15.75">
      <c r="A25" s="1" t="s">
        <v>58</v>
      </c>
      <c r="B25" s="14">
        <v>2000000</v>
      </c>
      <c r="C25" s="14">
        <f t="shared" si="0"/>
        <v>2000000</v>
      </c>
      <c r="D25" s="14"/>
      <c r="E25" s="14">
        <f t="shared" si="1"/>
        <v>1000000</v>
      </c>
      <c r="F25" s="14">
        <f t="shared" si="2"/>
        <v>43750000</v>
      </c>
      <c r="G25" s="1"/>
      <c r="H25" s="4">
        <v>43750000</v>
      </c>
      <c r="I25" s="7">
        <f>(H25-H24)/H24</f>
        <v>0.12903225806451613</v>
      </c>
      <c r="J25" s="7"/>
      <c r="K25" s="1"/>
      <c r="L25" s="1"/>
      <c r="M25" s="1" t="s">
        <v>59</v>
      </c>
      <c r="N25" s="7">
        <f>AVERAGE(I17:I69)</f>
        <v>9.556161237439971E-2</v>
      </c>
      <c r="O25" s="1"/>
      <c r="P25" s="1"/>
      <c r="Q25" s="1"/>
      <c r="R25" s="1"/>
      <c r="S25" s="1"/>
      <c r="T25" s="1"/>
    </row>
    <row r="26" spans="1:20" ht="15.75">
      <c r="A26" s="1" t="s">
        <v>60</v>
      </c>
      <c r="B26" s="14">
        <v>2000000</v>
      </c>
      <c r="C26" s="14">
        <f t="shared" si="0"/>
        <v>2000000</v>
      </c>
      <c r="D26" s="14"/>
      <c r="E26" s="14">
        <f t="shared" si="1"/>
        <v>1000000</v>
      </c>
      <c r="F26" s="14">
        <f t="shared" si="2"/>
        <v>48750000</v>
      </c>
      <c r="G26" s="1"/>
      <c r="H26" s="4">
        <v>48750000</v>
      </c>
      <c r="I26" s="7">
        <f>(H26-H25)/H25</f>
        <v>0.11428571428571428</v>
      </c>
      <c r="J26" s="7"/>
      <c r="K26" s="1"/>
      <c r="L26" s="1"/>
      <c r="M26" s="1" t="s">
        <v>61</v>
      </c>
      <c r="N26" s="7">
        <f>AVERAGE(I70:I122)</f>
        <v>1.0638340972678637E-2</v>
      </c>
      <c r="O26" s="1"/>
      <c r="P26" s="1"/>
      <c r="Q26" s="1"/>
      <c r="R26" s="1"/>
      <c r="S26" s="1"/>
      <c r="T26" s="1"/>
    </row>
    <row r="27" spans="1:20" ht="15.75">
      <c r="A27" s="1" t="s">
        <v>62</v>
      </c>
      <c r="B27" s="14">
        <v>2000000</v>
      </c>
      <c r="C27" s="14">
        <f t="shared" si="0"/>
        <v>2000000</v>
      </c>
      <c r="D27" s="14"/>
      <c r="E27" s="14">
        <f t="shared" si="1"/>
        <v>1000000</v>
      </c>
      <c r="F27" s="14">
        <f t="shared" si="2"/>
        <v>53750000</v>
      </c>
      <c r="G27" s="1"/>
      <c r="H27" s="4">
        <v>53750000</v>
      </c>
      <c r="I27" s="7">
        <f>(H27-H26)/H26</f>
        <v>0.10256410256410256</v>
      </c>
      <c r="J27" s="7"/>
      <c r="K27" s="1"/>
      <c r="L27" s="1"/>
      <c r="M27" s="1" t="s">
        <v>63</v>
      </c>
      <c r="N27" s="7">
        <f>AVERAGE(I123:I175)</f>
        <v>5.1956312077454173E-3</v>
      </c>
      <c r="O27" s="1"/>
      <c r="P27" s="1"/>
      <c r="Q27" s="1"/>
      <c r="R27" s="1"/>
      <c r="S27" s="1"/>
      <c r="T27" s="1"/>
    </row>
    <row r="28" spans="1:20" ht="15.75">
      <c r="A28" s="1" t="s">
        <v>64</v>
      </c>
      <c r="B28" s="14">
        <v>2000000</v>
      </c>
      <c r="C28" s="14">
        <f t="shared" si="0"/>
        <v>2000000</v>
      </c>
      <c r="D28" s="14"/>
      <c r="E28" s="14">
        <f t="shared" si="1"/>
        <v>1000000</v>
      </c>
      <c r="F28" s="14">
        <f t="shared" si="2"/>
        <v>58750000</v>
      </c>
      <c r="G28" s="1"/>
      <c r="H28" s="4">
        <v>58750000</v>
      </c>
      <c r="I28" s="7">
        <f>(H28-H27)/H27</f>
        <v>9.3023255813953487E-2</v>
      </c>
      <c r="J28" s="7"/>
      <c r="K28" s="1"/>
      <c r="L28" s="1"/>
      <c r="M28" s="1" t="s">
        <v>65</v>
      </c>
      <c r="N28" s="7">
        <f>AVERAGE(I176:I228)</f>
        <v>3.0241016749347079E-3</v>
      </c>
      <c r="O28" s="1"/>
      <c r="P28" s="1"/>
      <c r="Q28" s="1"/>
      <c r="R28" s="1"/>
      <c r="S28" s="1"/>
      <c r="T28" s="1"/>
    </row>
    <row r="29" spans="1:20" ht="15.75">
      <c r="A29" s="1" t="s">
        <v>66</v>
      </c>
      <c r="B29" s="14">
        <v>2000000</v>
      </c>
      <c r="C29" s="14">
        <f t="shared" si="0"/>
        <v>2000000</v>
      </c>
      <c r="D29" s="14"/>
      <c r="E29" s="14">
        <f t="shared" si="1"/>
        <v>1000000</v>
      </c>
      <c r="F29" s="14">
        <f t="shared" si="2"/>
        <v>63750000</v>
      </c>
      <c r="G29" s="1"/>
      <c r="H29" s="4">
        <v>63750000</v>
      </c>
      <c r="I29" s="7">
        <f>(H29-H28)/H28</f>
        <v>8.5106382978723402E-2</v>
      </c>
      <c r="J29" s="7"/>
      <c r="K29" s="1"/>
      <c r="L29" s="1"/>
      <c r="M29" s="1" t="s">
        <v>67</v>
      </c>
      <c r="N29" s="7">
        <f>AVERAGE(I229:I281)</f>
        <v>1.9542345233264655E-3</v>
      </c>
      <c r="O29" s="1"/>
      <c r="P29" s="1"/>
      <c r="Q29" s="1"/>
      <c r="R29" s="1"/>
      <c r="S29" s="1"/>
      <c r="T29" s="1"/>
    </row>
    <row r="30" spans="1:20" ht="15.75">
      <c r="A30" s="1" t="s">
        <v>68</v>
      </c>
      <c r="B30" s="14">
        <f>B29*(1-$J$1)</f>
        <v>1920000</v>
      </c>
      <c r="C30" s="14">
        <f t="shared" si="0"/>
        <v>1920000</v>
      </c>
      <c r="D30" s="14"/>
      <c r="E30" s="14">
        <f t="shared" si="1"/>
        <v>960000</v>
      </c>
      <c r="F30" s="14">
        <f t="shared" si="2"/>
        <v>68550000</v>
      </c>
      <c r="G30" s="1"/>
      <c r="H30" s="4">
        <v>68550000</v>
      </c>
      <c r="I30" s="7">
        <f>(H30-H29)/H29</f>
        <v>7.5294117647058817E-2</v>
      </c>
      <c r="J30" s="7"/>
      <c r="K30" s="1"/>
      <c r="L30" s="1"/>
      <c r="M30" s="1" t="s">
        <v>69</v>
      </c>
      <c r="N30" s="7">
        <f>AVERAGE(I282:I334)</f>
        <v>1.486323820186755E-3</v>
      </c>
      <c r="O30" s="1"/>
      <c r="P30" s="1"/>
      <c r="Q30" s="1"/>
      <c r="R30" s="1"/>
      <c r="S30" s="1"/>
      <c r="T30" s="1"/>
    </row>
    <row r="31" spans="1:20" ht="15.75">
      <c r="A31" s="1" t="s">
        <v>70</v>
      </c>
      <c r="B31" s="14">
        <f>B30</f>
        <v>1920000</v>
      </c>
      <c r="C31" s="14">
        <f t="shared" si="0"/>
        <v>1920000</v>
      </c>
      <c r="D31" s="14"/>
      <c r="E31" s="14">
        <f t="shared" si="1"/>
        <v>960000</v>
      </c>
      <c r="F31" s="14">
        <f t="shared" si="2"/>
        <v>73350000</v>
      </c>
      <c r="G31" s="1"/>
      <c r="H31" s="4">
        <v>73350000</v>
      </c>
      <c r="I31" s="7">
        <f>(H31-H30)/H30</f>
        <v>7.0021881838074396E-2</v>
      </c>
      <c r="J31" s="7"/>
      <c r="K31" s="1"/>
      <c r="L31" s="1"/>
      <c r="M31" s="1" t="s">
        <v>71</v>
      </c>
      <c r="N31" s="7">
        <f>AVERAGE(I335:I387)</f>
        <v>1.1589893607883899E-3</v>
      </c>
      <c r="O31" s="1"/>
      <c r="P31" s="1"/>
      <c r="Q31" s="1"/>
      <c r="R31" s="1"/>
      <c r="S31" s="1"/>
      <c r="T31" s="1"/>
    </row>
    <row r="32" spans="1:20" ht="15.75">
      <c r="A32" s="1" t="s">
        <v>72</v>
      </c>
      <c r="B32" s="14">
        <f t="shared" ref="B32:B41" si="3">B31</f>
        <v>1920000</v>
      </c>
      <c r="C32" s="14">
        <f t="shared" si="0"/>
        <v>1920000</v>
      </c>
      <c r="D32" s="14"/>
      <c r="E32" s="14">
        <f t="shared" si="1"/>
        <v>960000</v>
      </c>
      <c r="F32" s="14">
        <f t="shared" si="2"/>
        <v>78150000</v>
      </c>
      <c r="G32" s="1"/>
      <c r="H32" s="4">
        <v>78150000</v>
      </c>
      <c r="I32" s="7">
        <f>(H32-H31)/H31</f>
        <v>6.5439672801635998E-2</v>
      </c>
      <c r="J32" s="7"/>
      <c r="K32" s="1"/>
      <c r="L32" s="1"/>
      <c r="M32" s="1" t="s">
        <v>73</v>
      </c>
      <c r="N32" s="7">
        <f>AVERAGE(I388:I440)</f>
        <v>9.1533611929587786E-4</v>
      </c>
      <c r="O32" s="1"/>
      <c r="P32" s="1"/>
      <c r="Q32" s="1"/>
      <c r="R32" s="1"/>
      <c r="S32" s="1"/>
      <c r="T32" s="1"/>
    </row>
    <row r="33" spans="1:20" ht="15.75">
      <c r="A33" s="1" t="s">
        <v>74</v>
      </c>
      <c r="B33" s="14">
        <f t="shared" si="3"/>
        <v>1920000</v>
      </c>
      <c r="C33" s="14">
        <f t="shared" si="0"/>
        <v>1920000</v>
      </c>
      <c r="D33" s="14"/>
      <c r="E33" s="14">
        <f t="shared" si="1"/>
        <v>960000</v>
      </c>
      <c r="F33" s="14">
        <f t="shared" si="2"/>
        <v>82950000</v>
      </c>
      <c r="G33" s="1"/>
      <c r="H33" s="4">
        <v>82950000</v>
      </c>
      <c r="I33" s="7">
        <f t="shared" ref="I33:I96" si="4">(H33-H32)/H32</f>
        <v>6.1420345489443376E-2</v>
      </c>
      <c r="J33" s="7"/>
      <c r="K33" s="1"/>
      <c r="L33" s="1"/>
      <c r="M33" s="1" t="s">
        <v>75</v>
      </c>
      <c r="N33" s="7">
        <f>AVERAGE(I441:I493)</f>
        <v>7.3171085912681613E-4</v>
      </c>
      <c r="O33" s="1"/>
      <c r="P33" s="1"/>
      <c r="Q33" s="1"/>
      <c r="R33" s="1"/>
      <c r="S33" s="1"/>
      <c r="T33" s="1"/>
    </row>
    <row r="34" spans="1:20" ht="15.75">
      <c r="A34" s="1" t="s">
        <v>76</v>
      </c>
      <c r="B34" s="14">
        <f t="shared" si="3"/>
        <v>1920000</v>
      </c>
      <c r="C34" s="14">
        <f t="shared" si="0"/>
        <v>1920000</v>
      </c>
      <c r="D34" s="14"/>
      <c r="E34" s="14">
        <f t="shared" si="1"/>
        <v>960000</v>
      </c>
      <c r="F34" s="14">
        <f t="shared" si="2"/>
        <v>87750000</v>
      </c>
      <c r="G34" s="1"/>
      <c r="H34" s="4">
        <v>87750000</v>
      </c>
      <c r="I34" s="7">
        <f t="shared" si="4"/>
        <v>5.7866184448462928E-2</v>
      </c>
      <c r="J34" s="7"/>
      <c r="K34" s="1"/>
      <c r="L34" s="1"/>
      <c r="M34" s="1" t="s">
        <v>77</v>
      </c>
      <c r="N34" s="7">
        <f>AVERAGE(I494:I546)</f>
        <v>5.904140534843472E-4</v>
      </c>
      <c r="O34" s="1"/>
      <c r="P34" s="1"/>
      <c r="Q34" s="1"/>
      <c r="R34" s="1"/>
      <c r="S34" s="1"/>
      <c r="T34" s="1"/>
    </row>
    <row r="35" spans="1:20" ht="15.75">
      <c r="A35" s="1" t="s">
        <v>78</v>
      </c>
      <c r="B35" s="14">
        <f t="shared" si="3"/>
        <v>1920000</v>
      </c>
      <c r="C35" s="14">
        <f t="shared" si="0"/>
        <v>1920000</v>
      </c>
      <c r="D35" s="14"/>
      <c r="E35" s="14">
        <f t="shared" si="1"/>
        <v>960000</v>
      </c>
      <c r="F35" s="14">
        <f t="shared" si="2"/>
        <v>92550000</v>
      </c>
      <c r="G35" s="1"/>
      <c r="H35" s="4">
        <v>92550000</v>
      </c>
      <c r="I35" s="7">
        <f t="shared" si="4"/>
        <v>5.4700854700854701E-2</v>
      </c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>
      <c r="A36" s="1" t="s">
        <v>79</v>
      </c>
      <c r="B36" s="14">
        <f t="shared" si="3"/>
        <v>1920000</v>
      </c>
      <c r="C36" s="14">
        <f t="shared" si="0"/>
        <v>1920000</v>
      </c>
      <c r="D36" s="14"/>
      <c r="E36" s="14">
        <f t="shared" si="1"/>
        <v>960000</v>
      </c>
      <c r="F36" s="14">
        <f t="shared" si="2"/>
        <v>97350000</v>
      </c>
      <c r="G36" s="1"/>
      <c r="H36" s="4">
        <v>97350000</v>
      </c>
      <c r="I36" s="7">
        <f t="shared" si="4"/>
        <v>5.1863857374392218E-2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>
      <c r="A37" s="1" t="s">
        <v>80</v>
      </c>
      <c r="B37" s="14">
        <f t="shared" si="3"/>
        <v>1920000</v>
      </c>
      <c r="C37" s="14">
        <f t="shared" si="0"/>
        <v>1920000</v>
      </c>
      <c r="D37" s="14"/>
      <c r="E37" s="14">
        <f t="shared" si="1"/>
        <v>960000</v>
      </c>
      <c r="F37" s="14">
        <f t="shared" si="2"/>
        <v>102150000</v>
      </c>
      <c r="G37" s="1"/>
      <c r="H37" s="4">
        <v>102150000</v>
      </c>
      <c r="I37" s="7">
        <f t="shared" si="4"/>
        <v>4.930662557781202E-2</v>
      </c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>
      <c r="A38" s="1" t="s">
        <v>81</v>
      </c>
      <c r="B38" s="14">
        <f t="shared" si="3"/>
        <v>1920000</v>
      </c>
      <c r="C38" s="14">
        <f t="shared" si="0"/>
        <v>1920000</v>
      </c>
      <c r="D38" s="14"/>
      <c r="E38" s="14">
        <f t="shared" si="1"/>
        <v>960000</v>
      </c>
      <c r="F38" s="14">
        <f t="shared" si="2"/>
        <v>106950000</v>
      </c>
      <c r="G38" s="1"/>
      <c r="H38" s="4">
        <v>106950000</v>
      </c>
      <c r="I38" s="7">
        <f t="shared" si="4"/>
        <v>4.6989720998531569E-2</v>
      </c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>
      <c r="A39" s="1" t="s">
        <v>82</v>
      </c>
      <c r="B39" s="14">
        <f t="shared" si="3"/>
        <v>1920000</v>
      </c>
      <c r="C39" s="14">
        <f t="shared" si="0"/>
        <v>1920000</v>
      </c>
      <c r="D39" s="14"/>
      <c r="E39" s="14">
        <f t="shared" si="1"/>
        <v>960000</v>
      </c>
      <c r="F39" s="14">
        <f t="shared" si="2"/>
        <v>111750000</v>
      </c>
      <c r="G39" s="1"/>
      <c r="H39" s="4">
        <v>111750000</v>
      </c>
      <c r="I39" s="7">
        <f t="shared" si="4"/>
        <v>4.4880785413744739E-2</v>
      </c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>
      <c r="A40" s="1" t="s">
        <v>83</v>
      </c>
      <c r="B40" s="14">
        <f t="shared" si="3"/>
        <v>1920000</v>
      </c>
      <c r="C40" s="14">
        <f t="shared" si="0"/>
        <v>1920000</v>
      </c>
      <c r="D40" s="14"/>
      <c r="E40" s="14">
        <f t="shared" si="1"/>
        <v>960000</v>
      </c>
      <c r="F40" s="14">
        <f t="shared" si="2"/>
        <v>116550000</v>
      </c>
      <c r="G40" s="1"/>
      <c r="H40" s="4">
        <v>116550000</v>
      </c>
      <c r="I40" s="7">
        <f t="shared" si="4"/>
        <v>4.2953020134228186E-2</v>
      </c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>
      <c r="A41" s="1" t="s">
        <v>84</v>
      </c>
      <c r="B41" s="14">
        <f t="shared" si="3"/>
        <v>1920000</v>
      </c>
      <c r="C41" s="14">
        <f t="shared" si="0"/>
        <v>1920000</v>
      </c>
      <c r="D41" s="14"/>
      <c r="E41" s="14">
        <f t="shared" si="1"/>
        <v>960000</v>
      </c>
      <c r="F41" s="14">
        <f t="shared" si="2"/>
        <v>121350000</v>
      </c>
      <c r="G41" s="1"/>
      <c r="H41" s="4">
        <v>121350000</v>
      </c>
      <c r="I41" s="7">
        <f t="shared" si="4"/>
        <v>4.1184041184041183E-2</v>
      </c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>
      <c r="A42" s="1" t="s">
        <v>85</v>
      </c>
      <c r="B42" s="14">
        <f>B41*(1-$J$1)</f>
        <v>1843200</v>
      </c>
      <c r="C42" s="14">
        <f t="shared" si="0"/>
        <v>1843200</v>
      </c>
      <c r="D42" s="14"/>
      <c r="E42" s="14">
        <f t="shared" si="1"/>
        <v>921600</v>
      </c>
      <c r="F42" s="14">
        <f t="shared" si="2"/>
        <v>125958000</v>
      </c>
      <c r="G42" s="1"/>
      <c r="H42" s="4">
        <v>125958000</v>
      </c>
      <c r="I42" s="7">
        <f t="shared" si="4"/>
        <v>3.7972805933250926E-2</v>
      </c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>
      <c r="A43" s="1" t="s">
        <v>86</v>
      </c>
      <c r="B43" s="14">
        <f>B42</f>
        <v>1843200</v>
      </c>
      <c r="C43" s="14">
        <f t="shared" si="0"/>
        <v>1843200</v>
      </c>
      <c r="D43" s="14"/>
      <c r="E43" s="14">
        <f t="shared" si="1"/>
        <v>921600</v>
      </c>
      <c r="F43" s="14">
        <f t="shared" si="2"/>
        <v>130566000</v>
      </c>
      <c r="G43" s="1"/>
      <c r="H43" s="4">
        <v>130566000</v>
      </c>
      <c r="I43" s="7">
        <f t="shared" si="4"/>
        <v>3.658362311246606E-2</v>
      </c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>
      <c r="A44" s="1" t="s">
        <v>87</v>
      </c>
      <c r="B44" s="14">
        <f t="shared" ref="B44:B53" si="5">B43</f>
        <v>1843200</v>
      </c>
      <c r="C44" s="14">
        <f t="shared" si="0"/>
        <v>1843200</v>
      </c>
      <c r="D44" s="14"/>
      <c r="E44" s="14">
        <f t="shared" si="1"/>
        <v>921600</v>
      </c>
      <c r="F44" s="14">
        <f t="shared" si="2"/>
        <v>135174000</v>
      </c>
      <c r="G44" s="1"/>
      <c r="H44" s="4">
        <v>135174000</v>
      </c>
      <c r="I44" s="7">
        <f t="shared" si="4"/>
        <v>3.5292495749276231E-2</v>
      </c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>
      <c r="A45" s="1" t="s">
        <v>88</v>
      </c>
      <c r="B45" s="14">
        <f t="shared" si="5"/>
        <v>1843200</v>
      </c>
      <c r="C45" s="14">
        <f t="shared" si="0"/>
        <v>1843200</v>
      </c>
      <c r="D45" s="14"/>
      <c r="E45" s="14">
        <f t="shared" si="1"/>
        <v>921600</v>
      </c>
      <c r="F45" s="14">
        <f t="shared" si="2"/>
        <v>139782000</v>
      </c>
      <c r="G45" s="1"/>
      <c r="H45" s="4">
        <v>139782000</v>
      </c>
      <c r="I45" s="7">
        <f t="shared" si="4"/>
        <v>3.4089395889742108E-2</v>
      </c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>
      <c r="A46" s="1" t="s">
        <v>89</v>
      </c>
      <c r="B46" s="14">
        <f t="shared" si="5"/>
        <v>1843200</v>
      </c>
      <c r="C46" s="14">
        <f t="shared" si="0"/>
        <v>1843200</v>
      </c>
      <c r="D46" s="14"/>
      <c r="E46" s="14">
        <f t="shared" si="1"/>
        <v>921600</v>
      </c>
      <c r="F46" s="14">
        <f t="shared" si="2"/>
        <v>144390000</v>
      </c>
      <c r="G46" s="1"/>
      <c r="H46" s="4">
        <v>144390000</v>
      </c>
      <c r="I46" s="7">
        <f t="shared" si="4"/>
        <v>3.2965617890715546E-2</v>
      </c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>
      <c r="A47" s="1" t="s">
        <v>90</v>
      </c>
      <c r="B47" s="14">
        <f t="shared" si="5"/>
        <v>1843200</v>
      </c>
      <c r="C47" s="14">
        <f t="shared" si="0"/>
        <v>1843200</v>
      </c>
      <c r="D47" s="14"/>
      <c r="E47" s="14">
        <f t="shared" si="1"/>
        <v>921600</v>
      </c>
      <c r="F47" s="14">
        <f t="shared" si="2"/>
        <v>148998000</v>
      </c>
      <c r="G47" s="1"/>
      <c r="H47" s="4">
        <v>148998000</v>
      </c>
      <c r="I47" s="7">
        <f t="shared" si="4"/>
        <v>3.1913567421566591E-2</v>
      </c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>
      <c r="A48" s="1" t="s">
        <v>91</v>
      </c>
      <c r="B48" s="14">
        <f t="shared" si="5"/>
        <v>1843200</v>
      </c>
      <c r="C48" s="14">
        <f t="shared" si="0"/>
        <v>1843200</v>
      </c>
      <c r="D48" s="14"/>
      <c r="E48" s="14">
        <f t="shared" si="1"/>
        <v>921600</v>
      </c>
      <c r="F48" s="14">
        <f t="shared" si="2"/>
        <v>153606000</v>
      </c>
      <c r="G48" s="1"/>
      <c r="H48" s="4">
        <v>153606000</v>
      </c>
      <c r="I48" s="7">
        <f t="shared" si="4"/>
        <v>3.0926589618652599E-2</v>
      </c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>
      <c r="A49" s="1" t="s">
        <v>92</v>
      </c>
      <c r="B49" s="14">
        <f t="shared" si="5"/>
        <v>1843200</v>
      </c>
      <c r="C49" s="14">
        <f t="shared" si="0"/>
        <v>1843200</v>
      </c>
      <c r="D49" s="14"/>
      <c r="E49" s="14">
        <f t="shared" si="1"/>
        <v>921600</v>
      </c>
      <c r="F49" s="14">
        <f t="shared" si="2"/>
        <v>158214000</v>
      </c>
      <c r="G49" s="1"/>
      <c r="H49" s="4">
        <v>158214000</v>
      </c>
      <c r="I49" s="7">
        <f t="shared" si="4"/>
        <v>2.999882817077458E-2</v>
      </c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>
      <c r="A50" s="1" t="s">
        <v>93</v>
      </c>
      <c r="B50" s="14">
        <f t="shared" si="5"/>
        <v>1843200</v>
      </c>
      <c r="C50" s="14">
        <f t="shared" si="0"/>
        <v>1843200</v>
      </c>
      <c r="D50" s="14"/>
      <c r="E50" s="14">
        <f t="shared" si="1"/>
        <v>921600</v>
      </c>
      <c r="F50" s="14">
        <f t="shared" si="2"/>
        <v>162822000</v>
      </c>
      <c r="G50" s="1"/>
      <c r="H50" s="4">
        <v>162822000</v>
      </c>
      <c r="I50" s="7">
        <f t="shared" si="4"/>
        <v>2.9125109029542264E-2</v>
      </c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>
      <c r="A51" s="1" t="s">
        <v>94</v>
      </c>
      <c r="B51" s="14">
        <f t="shared" si="5"/>
        <v>1843200</v>
      </c>
      <c r="C51" s="14">
        <f t="shared" si="0"/>
        <v>1843200</v>
      </c>
      <c r="D51" s="14"/>
      <c r="E51" s="14">
        <f t="shared" si="1"/>
        <v>921600</v>
      </c>
      <c r="F51" s="14">
        <f t="shared" si="2"/>
        <v>167430000</v>
      </c>
      <c r="G51" s="1"/>
      <c r="H51" s="4">
        <v>167430000</v>
      </c>
      <c r="I51" s="7">
        <f t="shared" si="4"/>
        <v>2.8300843866307993E-2</v>
      </c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>
      <c r="A52" s="1" t="s">
        <v>95</v>
      </c>
      <c r="B52" s="14">
        <f t="shared" si="5"/>
        <v>1843200</v>
      </c>
      <c r="C52" s="14">
        <f t="shared" si="0"/>
        <v>1843200</v>
      </c>
      <c r="D52" s="14"/>
      <c r="E52" s="14">
        <f t="shared" si="1"/>
        <v>921600</v>
      </c>
      <c r="F52" s="14">
        <f t="shared" si="2"/>
        <v>172038000</v>
      </c>
      <c r="G52" s="1"/>
      <c r="H52" s="4">
        <v>172038000</v>
      </c>
      <c r="I52" s="7">
        <f t="shared" si="4"/>
        <v>2.7521949471420892E-2</v>
      </c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>
      <c r="A53" s="1" t="s">
        <v>96</v>
      </c>
      <c r="B53" s="14">
        <f t="shared" si="5"/>
        <v>1843200</v>
      </c>
      <c r="C53" s="14">
        <f t="shared" si="0"/>
        <v>1843200</v>
      </c>
      <c r="D53" s="14"/>
      <c r="E53" s="14">
        <f t="shared" si="1"/>
        <v>921600</v>
      </c>
      <c r="F53" s="14">
        <f t="shared" si="2"/>
        <v>176646000</v>
      </c>
      <c r="G53" s="1"/>
      <c r="H53" s="4">
        <v>176646000</v>
      </c>
      <c r="I53" s="7">
        <f t="shared" si="4"/>
        <v>2.6784780106720609E-2</v>
      </c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>
      <c r="A54" s="1" t="s">
        <v>97</v>
      </c>
      <c r="B54" s="14">
        <f>B53*(1-$J$1)</f>
        <v>1769472</v>
      </c>
      <c r="C54" s="14">
        <f>B54*$H$2</f>
        <v>1769472</v>
      </c>
      <c r="D54" s="14"/>
      <c r="E54" s="14">
        <f t="shared" si="1"/>
        <v>884736</v>
      </c>
      <c r="F54" s="14">
        <f t="shared" si="2"/>
        <v>181069680</v>
      </c>
      <c r="G54" s="1"/>
      <c r="H54" s="4">
        <v>181069680</v>
      </c>
      <c r="I54" s="7">
        <f t="shared" si="4"/>
        <v>2.504262762813763E-2</v>
      </c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>
      <c r="A55" s="1" t="s">
        <v>98</v>
      </c>
      <c r="B55" s="14">
        <f>B54</f>
        <v>1769472</v>
      </c>
      <c r="C55" s="14">
        <f t="shared" si="0"/>
        <v>1769472</v>
      </c>
      <c r="D55" s="14"/>
      <c r="E55" s="14">
        <f t="shared" si="1"/>
        <v>884736</v>
      </c>
      <c r="F55" s="14">
        <f t="shared" si="2"/>
        <v>185493360</v>
      </c>
      <c r="G55" s="1"/>
      <c r="H55" s="4">
        <v>185493360</v>
      </c>
      <c r="I55" s="7">
        <f t="shared" si="4"/>
        <v>2.4430815805274522E-2</v>
      </c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>
      <c r="A56" s="1" t="s">
        <v>99</v>
      </c>
      <c r="B56" s="14">
        <f t="shared" ref="B56:B65" si="6">B55</f>
        <v>1769472</v>
      </c>
      <c r="C56" s="14">
        <f t="shared" si="0"/>
        <v>1769472</v>
      </c>
      <c r="D56" s="14"/>
      <c r="E56" s="14">
        <f t="shared" si="1"/>
        <v>884736</v>
      </c>
      <c r="F56" s="14">
        <f t="shared" si="2"/>
        <v>189917040</v>
      </c>
      <c r="G56" s="1"/>
      <c r="H56" s="4">
        <v>189917040</v>
      </c>
      <c r="I56" s="7">
        <f t="shared" si="4"/>
        <v>2.3848185185712308E-2</v>
      </c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>
      <c r="A57" s="1" t="s">
        <v>100</v>
      </c>
      <c r="B57" s="14">
        <f t="shared" si="6"/>
        <v>1769472</v>
      </c>
      <c r="C57" s="14">
        <f t="shared" si="0"/>
        <v>1769472</v>
      </c>
      <c r="D57" s="14"/>
      <c r="E57" s="14">
        <f t="shared" si="1"/>
        <v>884736</v>
      </c>
      <c r="F57" s="14">
        <f t="shared" si="2"/>
        <v>194340720</v>
      </c>
      <c r="G57" s="1"/>
      <c r="H57" s="4">
        <v>194340720</v>
      </c>
      <c r="I57" s="7">
        <f t="shared" si="4"/>
        <v>2.3292696642702518E-2</v>
      </c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>
      <c r="A58" s="1" t="s">
        <v>101</v>
      </c>
      <c r="B58" s="14">
        <f t="shared" si="6"/>
        <v>1769472</v>
      </c>
      <c r="C58" s="14">
        <f t="shared" si="0"/>
        <v>1769472</v>
      </c>
      <c r="D58" s="14"/>
      <c r="E58" s="14">
        <f t="shared" si="1"/>
        <v>884736</v>
      </c>
      <c r="F58" s="14">
        <f t="shared" si="2"/>
        <v>198764400</v>
      </c>
      <c r="G58" s="1"/>
      <c r="H58" s="4">
        <v>198764400</v>
      </c>
      <c r="I58" s="7">
        <f t="shared" si="4"/>
        <v>2.2762496711960314E-2</v>
      </c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>
      <c r="A59" s="1" t="s">
        <v>102</v>
      </c>
      <c r="B59" s="14">
        <f t="shared" si="6"/>
        <v>1769472</v>
      </c>
      <c r="C59" s="14">
        <f t="shared" si="0"/>
        <v>1769472</v>
      </c>
      <c r="D59" s="14"/>
      <c r="E59" s="14">
        <f t="shared" si="1"/>
        <v>884736</v>
      </c>
      <c r="F59" s="14">
        <f t="shared" si="2"/>
        <v>203188080</v>
      </c>
      <c r="G59" s="1"/>
      <c r="H59" s="4">
        <v>203188080</v>
      </c>
      <c r="I59" s="7">
        <f t="shared" si="4"/>
        <v>2.225589693124121E-2</v>
      </c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>
      <c r="A60" s="1" t="s">
        <v>103</v>
      </c>
      <c r="B60" s="14">
        <f t="shared" si="6"/>
        <v>1769472</v>
      </c>
      <c r="C60" s="14">
        <f t="shared" si="0"/>
        <v>1769472</v>
      </c>
      <c r="D60" s="14"/>
      <c r="E60" s="14">
        <f t="shared" si="1"/>
        <v>884736</v>
      </c>
      <c r="F60" s="14">
        <f t="shared" si="2"/>
        <v>207611760</v>
      </c>
      <c r="G60" s="1"/>
      <c r="H60" s="4">
        <v>207611760</v>
      </c>
      <c r="I60" s="7">
        <f t="shared" si="4"/>
        <v>2.1771355878750367E-2</v>
      </c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>
      <c r="A61" s="1" t="s">
        <v>104</v>
      </c>
      <c r="B61" s="14">
        <f t="shared" si="6"/>
        <v>1769472</v>
      </c>
      <c r="C61" s="14">
        <f t="shared" si="0"/>
        <v>1769472</v>
      </c>
      <c r="D61" s="14"/>
      <c r="E61" s="14">
        <f t="shared" si="1"/>
        <v>884736</v>
      </c>
      <c r="F61" s="14">
        <f t="shared" si="2"/>
        <v>212035440</v>
      </c>
      <c r="G61" s="1"/>
      <c r="H61" s="4">
        <v>212035440</v>
      </c>
      <c r="I61" s="7">
        <f t="shared" si="4"/>
        <v>2.1307463507847534E-2</v>
      </c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>
      <c r="A62" s="1" t="s">
        <v>105</v>
      </c>
      <c r="B62" s="14">
        <f t="shared" si="6"/>
        <v>1769472</v>
      </c>
      <c r="C62" s="14">
        <f t="shared" si="0"/>
        <v>1769472</v>
      </c>
      <c r="D62" s="14"/>
      <c r="E62" s="14">
        <f t="shared" si="1"/>
        <v>884736</v>
      </c>
      <c r="F62" s="14">
        <f t="shared" si="2"/>
        <v>216459120</v>
      </c>
      <c r="G62" s="1"/>
      <c r="H62" s="4">
        <v>216459120</v>
      </c>
      <c r="I62" s="7">
        <f t="shared" si="4"/>
        <v>2.0862927442695429E-2</v>
      </c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>
      <c r="A63" s="1" t="s">
        <v>106</v>
      </c>
      <c r="B63" s="14">
        <f t="shared" si="6"/>
        <v>1769472</v>
      </c>
      <c r="C63" s="14">
        <f t="shared" si="0"/>
        <v>1769472</v>
      </c>
      <c r="D63" s="14"/>
      <c r="E63" s="14">
        <f t="shared" si="1"/>
        <v>884736</v>
      </c>
      <c r="F63" s="14">
        <f t="shared" si="2"/>
        <v>220882800</v>
      </c>
      <c r="G63" s="1"/>
      <c r="H63" s="4">
        <v>220882800</v>
      </c>
      <c r="I63" s="7">
        <f t="shared" si="4"/>
        <v>2.0436560954327079E-2</v>
      </c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>
      <c r="A64" s="1" t="s">
        <v>107</v>
      </c>
      <c r="B64" s="14">
        <f t="shared" si="6"/>
        <v>1769472</v>
      </c>
      <c r="C64" s="14">
        <f t="shared" si="0"/>
        <v>1769472</v>
      </c>
      <c r="D64" s="14"/>
      <c r="E64" s="14">
        <f t="shared" si="1"/>
        <v>884736</v>
      </c>
      <c r="F64" s="14">
        <f t="shared" si="2"/>
        <v>225306480</v>
      </c>
      <c r="G64" s="1"/>
      <c r="H64" s="4">
        <v>225306480</v>
      </c>
      <c r="I64" s="7">
        <f t="shared" si="4"/>
        <v>2.002727238155257E-2</v>
      </c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>
      <c r="A65" s="1" t="s">
        <v>108</v>
      </c>
      <c r="B65" s="14">
        <f t="shared" si="6"/>
        <v>1769472</v>
      </c>
      <c r="C65" s="14">
        <f t="shared" si="0"/>
        <v>1769472</v>
      </c>
      <c r="D65" s="14"/>
      <c r="E65" s="14">
        <f t="shared" si="1"/>
        <v>884736</v>
      </c>
      <c r="F65" s="14">
        <f t="shared" si="2"/>
        <v>229730160</v>
      </c>
      <c r="G65" s="1"/>
      <c r="H65" s="4">
        <v>229730160</v>
      </c>
      <c r="I65" s="7">
        <f t="shared" si="4"/>
        <v>1.9634055798128842E-2</v>
      </c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>
      <c r="A66" s="1" t="s">
        <v>109</v>
      </c>
      <c r="B66" s="14">
        <f>B65*(1-$J$1)</f>
        <v>1698693.1199999999</v>
      </c>
      <c r="C66" s="14">
        <f t="shared" si="0"/>
        <v>1698693.1199999999</v>
      </c>
      <c r="D66" s="14"/>
      <c r="E66" s="14">
        <f t="shared" si="1"/>
        <v>849346.55999999994</v>
      </c>
      <c r="F66" s="14">
        <f t="shared" si="2"/>
        <v>233976892.80000001</v>
      </c>
      <c r="G66" s="1"/>
      <c r="H66" s="4">
        <v>233976892.80000001</v>
      </c>
      <c r="I66" s="7">
        <f t="shared" si="4"/>
        <v>1.8485743447878206E-2</v>
      </c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>
      <c r="A67" s="1" t="s">
        <v>110</v>
      </c>
      <c r="B67" s="14">
        <f>B66</f>
        <v>1698693.1199999999</v>
      </c>
      <c r="C67" s="14">
        <f t="shared" si="0"/>
        <v>1698693.1199999999</v>
      </c>
      <c r="D67" s="14"/>
      <c r="E67" s="14">
        <f t="shared" si="1"/>
        <v>849346.55999999994</v>
      </c>
      <c r="F67" s="14">
        <f t="shared" si="2"/>
        <v>238223625.60000002</v>
      </c>
      <c r="G67" s="1"/>
      <c r="H67" s="4">
        <v>238223625.59999999</v>
      </c>
      <c r="I67" s="7">
        <f t="shared" si="4"/>
        <v>1.8150223080490375E-2</v>
      </c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>
      <c r="A68" s="1" t="s">
        <v>111</v>
      </c>
      <c r="B68" s="14">
        <f t="shared" ref="B68:B77" si="7">B67</f>
        <v>1698693.1199999999</v>
      </c>
      <c r="C68" s="14">
        <f>B68*$H$3</f>
        <v>1358954.496</v>
      </c>
      <c r="D68" s="14"/>
      <c r="E68" s="14">
        <f t="shared" si="1"/>
        <v>764411.90399999998</v>
      </c>
      <c r="F68" s="14">
        <f t="shared" si="2"/>
        <v>242045685.12000003</v>
      </c>
      <c r="G68" s="1"/>
      <c r="H68" s="4">
        <v>242045685.12</v>
      </c>
      <c r="I68" s="7">
        <f t="shared" si="4"/>
        <v>1.6043998618414154E-2</v>
      </c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>
      <c r="A69" s="1" t="s">
        <v>112</v>
      </c>
      <c r="B69" s="14">
        <f t="shared" si="7"/>
        <v>1698693.1199999999</v>
      </c>
      <c r="C69" s="14">
        <f t="shared" ref="C69:C117" si="8">B69*$H$3</f>
        <v>1358954.496</v>
      </c>
      <c r="D69" s="14"/>
      <c r="E69" s="14">
        <f t="shared" si="1"/>
        <v>764411.90399999998</v>
      </c>
      <c r="F69" s="14">
        <f t="shared" si="2"/>
        <v>245867744.64000005</v>
      </c>
      <c r="G69" s="1"/>
      <c r="H69" s="4">
        <v>245867744.63999999</v>
      </c>
      <c r="I69" s="7">
        <f t="shared" si="4"/>
        <v>1.5790653397126674E-2</v>
      </c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>
      <c r="A70" s="1" t="s">
        <v>113</v>
      </c>
      <c r="B70" s="14">
        <f t="shared" si="7"/>
        <v>1698693.1199999999</v>
      </c>
      <c r="C70" s="14">
        <f t="shared" si="8"/>
        <v>1358954.496</v>
      </c>
      <c r="D70" s="14"/>
      <c r="E70" s="14">
        <f t="shared" si="1"/>
        <v>764411.90399999998</v>
      </c>
      <c r="F70" s="14">
        <f t="shared" si="2"/>
        <v>249689804.16000006</v>
      </c>
      <c r="G70" s="1"/>
      <c r="H70" s="4">
        <v>249689804.16</v>
      </c>
      <c r="I70" s="7">
        <f t="shared" si="4"/>
        <v>1.5545184772391666E-2</v>
      </c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>
      <c r="A71" s="1" t="s">
        <v>114</v>
      </c>
      <c r="B71" s="14">
        <f t="shared" si="7"/>
        <v>1698693.1199999999</v>
      </c>
      <c r="C71" s="14">
        <f t="shared" si="8"/>
        <v>1358954.496</v>
      </c>
      <c r="D71" s="14"/>
      <c r="E71" s="14">
        <f t="shared" si="1"/>
        <v>764411.90399999998</v>
      </c>
      <c r="F71" s="14">
        <f t="shared" si="2"/>
        <v>253511863.68000007</v>
      </c>
      <c r="G71" s="1"/>
      <c r="H71" s="4">
        <v>253511863.68000001</v>
      </c>
      <c r="I71" s="7">
        <f t="shared" si="4"/>
        <v>1.5307231037559122E-2</v>
      </c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>
      <c r="A72" s="1" t="s">
        <v>115</v>
      </c>
      <c r="B72" s="14">
        <f t="shared" si="7"/>
        <v>1698693.1199999999</v>
      </c>
      <c r="C72" s="14">
        <f t="shared" si="8"/>
        <v>1358954.496</v>
      </c>
      <c r="D72" s="14"/>
      <c r="E72" s="14">
        <f t="shared" si="1"/>
        <v>764411.90399999998</v>
      </c>
      <c r="F72" s="14">
        <f t="shared" si="2"/>
        <v>257333923.20000008</v>
      </c>
      <c r="G72" s="1"/>
      <c r="H72" s="4">
        <v>257333923.19999999</v>
      </c>
      <c r="I72" s="7">
        <f t="shared" si="4"/>
        <v>1.5076452298991599E-2</v>
      </c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>
      <c r="A73" s="1" t="s">
        <v>116</v>
      </c>
      <c r="B73" s="14">
        <f t="shared" si="7"/>
        <v>1698693.1199999999</v>
      </c>
      <c r="C73" s="14">
        <f t="shared" si="8"/>
        <v>1358954.496</v>
      </c>
      <c r="D73" s="14"/>
      <c r="E73" s="14">
        <f t="shared" si="1"/>
        <v>764411.90399999998</v>
      </c>
      <c r="F73" s="14">
        <f t="shared" si="2"/>
        <v>261155982.72000009</v>
      </c>
      <c r="G73" s="1"/>
      <c r="H73" s="4">
        <v>261155982.72</v>
      </c>
      <c r="I73" s="7">
        <f t="shared" si="4"/>
        <v>1.4852528856172239E-2</v>
      </c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>
      <c r="A74" s="1" t="s">
        <v>117</v>
      </c>
      <c r="B74" s="14">
        <f t="shared" si="7"/>
        <v>1698693.1199999999</v>
      </c>
      <c r="C74" s="14">
        <f t="shared" si="8"/>
        <v>1358954.496</v>
      </c>
      <c r="D74" s="14"/>
      <c r="E74" s="14">
        <f t="shared" si="1"/>
        <v>764411.90399999998</v>
      </c>
      <c r="F74" s="14">
        <f t="shared" si="2"/>
        <v>264978042.2400001</v>
      </c>
      <c r="G74" s="1"/>
      <c r="H74" s="4">
        <v>264978042.24000001</v>
      </c>
      <c r="I74" s="7">
        <f t="shared" si="4"/>
        <v>1.4635159724056008E-2</v>
      </c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>
      <c r="A75" s="1" t="s">
        <v>118</v>
      </c>
      <c r="B75" s="14">
        <f t="shared" si="7"/>
        <v>1698693.1199999999</v>
      </c>
      <c r="C75" s="14">
        <f t="shared" si="8"/>
        <v>1358954.496</v>
      </c>
      <c r="D75" s="14"/>
      <c r="E75" s="14">
        <f t="shared" si="1"/>
        <v>764411.90399999998</v>
      </c>
      <c r="F75" s="14">
        <f t="shared" si="2"/>
        <v>268800101.76000011</v>
      </c>
      <c r="G75" s="1"/>
      <c r="H75" s="4">
        <v>268800101.75999999</v>
      </c>
      <c r="I75" s="7">
        <f t="shared" si="4"/>
        <v>1.442406128330515E-2</v>
      </c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>
      <c r="A76" s="1" t="s">
        <v>119</v>
      </c>
      <c r="B76" s="14">
        <f t="shared" si="7"/>
        <v>1698693.1199999999</v>
      </c>
      <c r="C76" s="14">
        <f t="shared" si="8"/>
        <v>1358954.496</v>
      </c>
      <c r="D76" s="14"/>
      <c r="E76" s="14">
        <f t="shared" si="1"/>
        <v>764411.90399999998</v>
      </c>
      <c r="F76" s="14">
        <f t="shared" si="2"/>
        <v>272622161.28000009</v>
      </c>
      <c r="G76" s="1"/>
      <c r="H76" s="4">
        <v>272622161.27999997</v>
      </c>
      <c r="I76" s="7">
        <f t="shared" si="4"/>
        <v>1.4218966045677069E-2</v>
      </c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>
      <c r="A77" s="1" t="s">
        <v>120</v>
      </c>
      <c r="B77" s="14">
        <f t="shared" si="7"/>
        <v>1698693.1199999999</v>
      </c>
      <c r="C77" s="14">
        <f t="shared" si="8"/>
        <v>1358954.496</v>
      </c>
      <c r="D77" s="14"/>
      <c r="E77" s="14">
        <f t="shared" si="1"/>
        <v>764411.90399999998</v>
      </c>
      <c r="F77" s="14">
        <f t="shared" si="2"/>
        <v>276444220.80000007</v>
      </c>
      <c r="G77" s="1"/>
      <c r="H77" s="4">
        <v>276444220.80000001</v>
      </c>
      <c r="I77" s="7">
        <f t="shared" si="4"/>
        <v>1.4019621523264747E-2</v>
      </c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>
      <c r="A78" s="1" t="s">
        <v>121</v>
      </c>
      <c r="B78" s="14">
        <f>B77*(1-$J$1)</f>
        <v>1630745.3951999999</v>
      </c>
      <c r="C78" s="14">
        <f t="shared" si="8"/>
        <v>1304596.3161599999</v>
      </c>
      <c r="D78" s="14"/>
      <c r="E78" s="14">
        <f t="shared" si="1"/>
        <v>733835.42784000002</v>
      </c>
      <c r="F78" s="14">
        <f t="shared" si="2"/>
        <v>280113397.93920004</v>
      </c>
      <c r="G78" s="1"/>
      <c r="H78" s="4">
        <v>280113397.94</v>
      </c>
      <c r="I78" s="7">
        <f t="shared" si="4"/>
        <v>1.3272757626771069E-2</v>
      </c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>
      <c r="A79" s="1" t="s">
        <v>122</v>
      </c>
      <c r="B79" s="14">
        <f>B78</f>
        <v>1630745.3951999999</v>
      </c>
      <c r="C79" s="14">
        <f t="shared" si="8"/>
        <v>1304596.3161599999</v>
      </c>
      <c r="D79" s="14"/>
      <c r="E79" s="14">
        <f t="shared" si="1"/>
        <v>733835.42784000002</v>
      </c>
      <c r="F79" s="14">
        <f t="shared" si="2"/>
        <v>283782575.07840002</v>
      </c>
      <c r="G79" s="1"/>
      <c r="H79" s="4">
        <v>283782575.07999998</v>
      </c>
      <c r="I79" s="7">
        <f t="shared" si="4"/>
        <v>1.309889911365796E-2</v>
      </c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>
      <c r="A80" s="1" t="s">
        <v>123</v>
      </c>
      <c r="B80" s="14">
        <f t="shared" ref="B80:B89" si="9">B79</f>
        <v>1630745.3951999999</v>
      </c>
      <c r="C80" s="14">
        <f t="shared" si="8"/>
        <v>1304596.3161599999</v>
      </c>
      <c r="D80" s="14"/>
      <c r="E80" s="14">
        <f t="shared" si="1"/>
        <v>733835.42784000002</v>
      </c>
      <c r="F80" s="14">
        <f t="shared" si="2"/>
        <v>287451752.21759999</v>
      </c>
      <c r="G80" s="1"/>
      <c r="H80" s="4">
        <v>287451752.22000003</v>
      </c>
      <c r="I80" s="7">
        <f t="shared" si="4"/>
        <v>1.2929536420499682E-2</v>
      </c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>
      <c r="A81" s="1" t="s">
        <v>124</v>
      </c>
      <c r="B81" s="14">
        <f t="shared" si="9"/>
        <v>1630745.3951999999</v>
      </c>
      <c r="C81" s="14">
        <f t="shared" si="8"/>
        <v>1304596.3161599999</v>
      </c>
      <c r="D81" s="14"/>
      <c r="E81" s="14">
        <f t="shared" si="1"/>
        <v>733835.42784000002</v>
      </c>
      <c r="F81" s="14">
        <f t="shared" si="2"/>
        <v>291120929.35679996</v>
      </c>
      <c r="G81" s="1"/>
      <c r="H81" s="4">
        <v>291120929.36000001</v>
      </c>
      <c r="I81" s="7">
        <f t="shared" si="4"/>
        <v>1.2764497386649415E-2</v>
      </c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>
      <c r="A82" s="1" t="s">
        <v>125</v>
      </c>
      <c r="B82" s="14">
        <f t="shared" si="9"/>
        <v>1630745.3951999999</v>
      </c>
      <c r="C82" s="14">
        <f t="shared" si="8"/>
        <v>1304596.3161599999</v>
      </c>
      <c r="D82" s="14"/>
      <c r="E82" s="14">
        <f t="shared" si="1"/>
        <v>733835.42784000002</v>
      </c>
      <c r="F82" s="14">
        <f t="shared" si="2"/>
        <v>294790106.49599993</v>
      </c>
      <c r="G82" s="1"/>
      <c r="H82" s="4">
        <v>294790106.5</v>
      </c>
      <c r="I82" s="7">
        <f t="shared" si="4"/>
        <v>1.2603618530850054E-2</v>
      </c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>
      <c r="A83" s="1" t="s">
        <v>126</v>
      </c>
      <c r="B83" s="14">
        <f t="shared" si="9"/>
        <v>1630745.3951999999</v>
      </c>
      <c r="C83" s="14">
        <f t="shared" si="8"/>
        <v>1304596.3161599999</v>
      </c>
      <c r="D83" s="14"/>
      <c r="E83" s="14">
        <f t="shared" ref="E83:E146" si="10">(B83+C83+D83)*25%</f>
        <v>733835.42784000002</v>
      </c>
      <c r="F83" s="14">
        <f t="shared" ref="F83:F146" si="11">F82+SUM(B83:E83)</f>
        <v>298459283.6351999</v>
      </c>
      <c r="G83" s="1"/>
      <c r="H83" s="4">
        <v>298459283.63999999</v>
      </c>
      <c r="I83" s="7">
        <f t="shared" si="4"/>
        <v>1.2446744511081432E-2</v>
      </c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>
      <c r="A84" s="1" t="s">
        <v>127</v>
      </c>
      <c r="B84" s="14">
        <f t="shared" si="9"/>
        <v>1630745.3951999999</v>
      </c>
      <c r="C84" s="14">
        <f t="shared" si="8"/>
        <v>1304596.3161599999</v>
      </c>
      <c r="D84" s="14"/>
      <c r="E84" s="14">
        <f t="shared" si="10"/>
        <v>733835.42784000002</v>
      </c>
      <c r="F84" s="14">
        <f t="shared" si="11"/>
        <v>302128460.77439988</v>
      </c>
      <c r="G84" s="1"/>
      <c r="H84" s="4">
        <v>302128460.76999998</v>
      </c>
      <c r="I84" s="7">
        <f t="shared" si="4"/>
        <v>1.2293727590748147E-2</v>
      </c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>
      <c r="A85" s="1" t="s">
        <v>128</v>
      </c>
      <c r="B85" s="14">
        <f t="shared" si="9"/>
        <v>1630745.3951999999</v>
      </c>
      <c r="C85" s="14">
        <f t="shared" si="8"/>
        <v>1304596.3161599999</v>
      </c>
      <c r="D85" s="14"/>
      <c r="E85" s="14">
        <f t="shared" si="10"/>
        <v>733835.42784000002</v>
      </c>
      <c r="F85" s="14">
        <f t="shared" si="11"/>
        <v>305797637.91359985</v>
      </c>
      <c r="G85" s="1"/>
      <c r="H85" s="4">
        <v>305797637.91000003</v>
      </c>
      <c r="I85" s="7">
        <f t="shared" si="4"/>
        <v>1.2144427342756245E-2</v>
      </c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>
      <c r="A86" s="1" t="s">
        <v>129</v>
      </c>
      <c r="B86" s="14">
        <f t="shared" si="9"/>
        <v>1630745.3951999999</v>
      </c>
      <c r="C86" s="14">
        <f t="shared" si="8"/>
        <v>1304596.3161599999</v>
      </c>
      <c r="D86" s="14"/>
      <c r="E86" s="14">
        <f t="shared" si="10"/>
        <v>733835.42784000002</v>
      </c>
      <c r="F86" s="14">
        <f t="shared" si="11"/>
        <v>309466815.05279982</v>
      </c>
      <c r="G86" s="1"/>
      <c r="H86" s="4">
        <v>309466815.05000001</v>
      </c>
      <c r="I86" s="7">
        <f t="shared" si="4"/>
        <v>1.1998709882382641E-2</v>
      </c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>
      <c r="A87" s="1" t="s">
        <v>130</v>
      </c>
      <c r="B87" s="14">
        <f t="shared" si="9"/>
        <v>1630745.3951999999</v>
      </c>
      <c r="C87" s="14">
        <f t="shared" si="8"/>
        <v>1304596.3161599999</v>
      </c>
      <c r="D87" s="14"/>
      <c r="E87" s="14">
        <f t="shared" si="10"/>
        <v>733835.42784000002</v>
      </c>
      <c r="F87" s="14">
        <f t="shared" si="11"/>
        <v>313135992.19199979</v>
      </c>
      <c r="G87" s="1"/>
      <c r="H87" s="4">
        <v>313135992.19</v>
      </c>
      <c r="I87" s="7">
        <f t="shared" si="4"/>
        <v>1.1856447804935605E-2</v>
      </c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>
      <c r="A88" s="1" t="s">
        <v>131</v>
      </c>
      <c r="B88" s="14">
        <f t="shared" si="9"/>
        <v>1630745.3951999999</v>
      </c>
      <c r="C88" s="14">
        <f t="shared" si="8"/>
        <v>1304596.3161599999</v>
      </c>
      <c r="D88" s="14"/>
      <c r="E88" s="14">
        <f t="shared" si="10"/>
        <v>733835.42784000002</v>
      </c>
      <c r="F88" s="14">
        <f t="shared" si="11"/>
        <v>316805169.33119977</v>
      </c>
      <c r="G88" s="1"/>
      <c r="H88" s="4">
        <v>316805169.32999998</v>
      </c>
      <c r="I88" s="7">
        <f t="shared" si="4"/>
        <v>1.171751964486298E-2</v>
      </c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>
      <c r="A89" s="1" t="s">
        <v>132</v>
      </c>
      <c r="B89" s="14">
        <f t="shared" si="9"/>
        <v>1630745.3951999999</v>
      </c>
      <c r="C89" s="14">
        <f t="shared" si="8"/>
        <v>1304596.3161599999</v>
      </c>
      <c r="D89" s="14"/>
      <c r="E89" s="14">
        <f t="shared" si="10"/>
        <v>733835.42784000002</v>
      </c>
      <c r="F89" s="14">
        <f t="shared" si="11"/>
        <v>320474346.47039974</v>
      </c>
      <c r="G89" s="1"/>
      <c r="H89" s="4">
        <v>320474346.47000003</v>
      </c>
      <c r="I89" s="7">
        <f t="shared" si="4"/>
        <v>1.1581809563776557E-2</v>
      </c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>
      <c r="A90" s="1" t="s">
        <v>133</v>
      </c>
      <c r="B90" s="14">
        <f>B89*(1-$J$1)</f>
        <v>1565515.5793919999</v>
      </c>
      <c r="C90" s="14">
        <f t="shared" si="8"/>
        <v>1252412.4635135999</v>
      </c>
      <c r="D90" s="14"/>
      <c r="E90" s="14">
        <f t="shared" si="10"/>
        <v>704482.01072639995</v>
      </c>
      <c r="F90" s="14">
        <f t="shared" si="11"/>
        <v>323996756.52403176</v>
      </c>
      <c r="G90" s="1"/>
      <c r="H90" s="4">
        <v>323996756.51999998</v>
      </c>
      <c r="I90" s="7">
        <f t="shared" si="4"/>
        <v>1.0991238733455656E-2</v>
      </c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>
      <c r="A91" s="1" t="s">
        <v>134</v>
      </c>
      <c r="B91" s="14">
        <f>B90</f>
        <v>1565515.5793919999</v>
      </c>
      <c r="C91" s="14">
        <f t="shared" si="8"/>
        <v>1252412.4635135999</v>
      </c>
      <c r="D91" s="14"/>
      <c r="E91" s="14">
        <f t="shared" si="10"/>
        <v>704482.01072639995</v>
      </c>
      <c r="F91" s="14">
        <f t="shared" si="11"/>
        <v>327519166.57766378</v>
      </c>
      <c r="G91" s="1"/>
      <c r="H91" s="4">
        <v>327519166.57999998</v>
      </c>
      <c r="I91" s="7">
        <f t="shared" si="4"/>
        <v>1.087174482187314E-2</v>
      </c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>
      <c r="A92" s="1" t="s">
        <v>135</v>
      </c>
      <c r="B92" s="14">
        <f t="shared" ref="B92:B101" si="12">B91</f>
        <v>1565515.5793919999</v>
      </c>
      <c r="C92" s="14">
        <f t="shared" si="8"/>
        <v>1252412.4635135999</v>
      </c>
      <c r="D92" s="14"/>
      <c r="E92" s="14">
        <f t="shared" si="10"/>
        <v>704482.01072639995</v>
      </c>
      <c r="F92" s="14">
        <f t="shared" si="11"/>
        <v>331041576.6312958</v>
      </c>
      <c r="G92" s="1"/>
      <c r="H92" s="4">
        <v>331041576.63</v>
      </c>
      <c r="I92" s="7">
        <f t="shared" si="4"/>
        <v>1.0754821120185118E-2</v>
      </c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>
      <c r="A93" s="1" t="s">
        <v>136</v>
      </c>
      <c r="B93" s="14">
        <f t="shared" si="12"/>
        <v>1565515.5793919999</v>
      </c>
      <c r="C93" s="14">
        <f t="shared" si="8"/>
        <v>1252412.4635135999</v>
      </c>
      <c r="D93" s="14"/>
      <c r="E93" s="14">
        <f t="shared" si="10"/>
        <v>704482.01072639995</v>
      </c>
      <c r="F93" s="14">
        <f t="shared" si="11"/>
        <v>334563986.68492782</v>
      </c>
      <c r="G93" s="1"/>
      <c r="H93" s="4">
        <v>334563986.68000001</v>
      </c>
      <c r="I93" s="7">
        <f t="shared" si="4"/>
        <v>1.0640385675594322E-2</v>
      </c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>
      <c r="A94" s="1" t="s">
        <v>137</v>
      </c>
      <c r="B94" s="14">
        <f t="shared" si="12"/>
        <v>1565515.5793919999</v>
      </c>
      <c r="C94" s="14">
        <f t="shared" si="8"/>
        <v>1252412.4635135999</v>
      </c>
      <c r="D94" s="14"/>
      <c r="E94" s="14">
        <f t="shared" si="10"/>
        <v>704482.01072639995</v>
      </c>
      <c r="F94" s="14">
        <f t="shared" si="11"/>
        <v>338086396.73855984</v>
      </c>
      <c r="G94" s="1"/>
      <c r="H94" s="4">
        <v>338086396.74000001</v>
      </c>
      <c r="I94" s="7">
        <f t="shared" si="4"/>
        <v>1.0528359895977319E-2</v>
      </c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>
      <c r="A95" s="1" t="s">
        <v>138</v>
      </c>
      <c r="B95" s="14">
        <f t="shared" si="12"/>
        <v>1565515.5793919999</v>
      </c>
      <c r="C95" s="14">
        <f t="shared" si="8"/>
        <v>1252412.4635135999</v>
      </c>
      <c r="D95" s="14"/>
      <c r="E95" s="14">
        <f t="shared" si="10"/>
        <v>704482.01072639995</v>
      </c>
      <c r="F95" s="14">
        <f t="shared" si="11"/>
        <v>341608806.79219186</v>
      </c>
      <c r="G95" s="1"/>
      <c r="H95" s="4">
        <v>341608806.79000002</v>
      </c>
      <c r="I95" s="7">
        <f t="shared" si="4"/>
        <v>1.041866837579054E-2</v>
      </c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>
      <c r="A96" s="1" t="s">
        <v>139</v>
      </c>
      <c r="B96" s="14">
        <f t="shared" si="12"/>
        <v>1565515.5793919999</v>
      </c>
      <c r="C96" s="14">
        <f t="shared" si="8"/>
        <v>1252412.4635135999</v>
      </c>
      <c r="D96" s="14"/>
      <c r="E96" s="14">
        <f t="shared" si="10"/>
        <v>704482.01072639995</v>
      </c>
      <c r="F96" s="14">
        <f t="shared" si="11"/>
        <v>345131216.84582388</v>
      </c>
      <c r="G96" s="1"/>
      <c r="H96" s="4">
        <v>345131216.85000002</v>
      </c>
      <c r="I96" s="7">
        <f t="shared" si="4"/>
        <v>1.0311239025419396E-2</v>
      </c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>
      <c r="A97" s="1" t="s">
        <v>140</v>
      </c>
      <c r="B97" s="14">
        <f t="shared" si="12"/>
        <v>1565515.5793919999</v>
      </c>
      <c r="C97" s="14">
        <f t="shared" si="8"/>
        <v>1252412.4635135999</v>
      </c>
      <c r="D97" s="14"/>
      <c r="E97" s="14">
        <f t="shared" si="10"/>
        <v>704482.01072639995</v>
      </c>
      <c r="F97" s="14">
        <f t="shared" si="11"/>
        <v>348653626.8994559</v>
      </c>
      <c r="G97" s="1"/>
      <c r="H97" s="4">
        <v>348653626.89999998</v>
      </c>
      <c r="I97" s="7">
        <f t="shared" ref="I97:I160" si="13">(H97-H96)/H96</f>
        <v>1.0206002465232962E-2</v>
      </c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>
      <c r="A98" s="1" t="s">
        <v>141</v>
      </c>
      <c r="B98" s="14">
        <f t="shared" si="12"/>
        <v>1565515.5793919999</v>
      </c>
      <c r="C98" s="14">
        <f t="shared" si="8"/>
        <v>1252412.4635135999</v>
      </c>
      <c r="D98" s="14"/>
      <c r="E98" s="14">
        <f t="shared" si="10"/>
        <v>704482.01072639995</v>
      </c>
      <c r="F98" s="14">
        <f t="shared" si="11"/>
        <v>352176036.95308793</v>
      </c>
      <c r="G98" s="1"/>
      <c r="H98" s="4">
        <v>352176036.94999999</v>
      </c>
      <c r="I98" s="7">
        <f t="shared" si="13"/>
        <v>1.0102892321296004E-2</v>
      </c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>
      <c r="A99" s="1" t="s">
        <v>142</v>
      </c>
      <c r="B99" s="14">
        <f t="shared" si="12"/>
        <v>1565515.5793919999</v>
      </c>
      <c r="C99" s="14">
        <f t="shared" si="8"/>
        <v>1252412.4635135999</v>
      </c>
      <c r="D99" s="14"/>
      <c r="E99" s="14">
        <f t="shared" si="10"/>
        <v>704482.01072639995</v>
      </c>
      <c r="F99" s="14">
        <f t="shared" si="11"/>
        <v>355698447.00671995</v>
      </c>
      <c r="G99" s="1"/>
      <c r="H99" s="4">
        <v>355698447.00999999</v>
      </c>
      <c r="I99" s="7">
        <f t="shared" si="13"/>
        <v>1.0001844789059555E-2</v>
      </c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>
      <c r="A100" s="1" t="s">
        <v>143</v>
      </c>
      <c r="B100" s="14">
        <f t="shared" si="12"/>
        <v>1565515.5793919999</v>
      </c>
      <c r="C100" s="14">
        <f t="shared" si="8"/>
        <v>1252412.4635135999</v>
      </c>
      <c r="D100" s="14"/>
      <c r="E100" s="14">
        <f t="shared" si="10"/>
        <v>704482.01072639995</v>
      </c>
      <c r="F100" s="14">
        <f t="shared" si="11"/>
        <v>359220857.06035197</v>
      </c>
      <c r="G100" s="1"/>
      <c r="H100" s="4">
        <v>359220857.06</v>
      </c>
      <c r="I100" s="7">
        <f t="shared" si="13"/>
        <v>9.9027985070201437E-3</v>
      </c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>
      <c r="A101" s="1" t="s">
        <v>144</v>
      </c>
      <c r="B101" s="14">
        <f t="shared" si="12"/>
        <v>1565515.5793919999</v>
      </c>
      <c r="C101" s="14">
        <f t="shared" si="8"/>
        <v>1252412.4635135999</v>
      </c>
      <c r="D101" s="14"/>
      <c r="E101" s="14">
        <f t="shared" si="10"/>
        <v>704482.01072639995</v>
      </c>
      <c r="F101" s="14">
        <f t="shared" si="11"/>
        <v>362743267.11398399</v>
      </c>
      <c r="G101" s="1"/>
      <c r="H101" s="4">
        <v>362743267.11000001</v>
      </c>
      <c r="I101" s="7">
        <f t="shared" si="13"/>
        <v>9.805694688300547E-3</v>
      </c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>
      <c r="A102" s="1" t="s">
        <v>145</v>
      </c>
      <c r="B102" s="14">
        <f>B101*(1-$J$1)</f>
        <v>1502894.9562163199</v>
      </c>
      <c r="C102" s="14">
        <f t="shared" si="8"/>
        <v>1202315.964973056</v>
      </c>
      <c r="D102" s="14"/>
      <c r="E102" s="14">
        <f t="shared" si="10"/>
        <v>676302.73029734404</v>
      </c>
      <c r="F102" s="14">
        <f t="shared" si="11"/>
        <v>366124780.76547068</v>
      </c>
      <c r="G102" s="1"/>
      <c r="H102" s="4">
        <v>366124780.76999998</v>
      </c>
      <c r="I102" s="7">
        <f t="shared" si="13"/>
        <v>9.3220576826710342E-3</v>
      </c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>
      <c r="A103" s="1" t="s">
        <v>146</v>
      </c>
      <c r="B103" s="14">
        <f>B102</f>
        <v>1502894.9562163199</v>
      </c>
      <c r="C103" s="14">
        <f t="shared" si="8"/>
        <v>1202315.964973056</v>
      </c>
      <c r="D103" s="14"/>
      <c r="E103" s="14">
        <f t="shared" si="10"/>
        <v>676302.73029734404</v>
      </c>
      <c r="F103" s="14">
        <f t="shared" si="11"/>
        <v>369506294.41695738</v>
      </c>
      <c r="G103" s="1"/>
      <c r="H103" s="4">
        <v>369506294.42000002</v>
      </c>
      <c r="I103" s="7">
        <f t="shared" si="13"/>
        <v>9.2359595078168356E-3</v>
      </c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>
      <c r="A104" s="1" t="s">
        <v>147</v>
      </c>
      <c r="B104" s="14">
        <f t="shared" ref="B104:B113" si="14">B103</f>
        <v>1502894.9562163199</v>
      </c>
      <c r="C104" s="14">
        <f t="shared" si="8"/>
        <v>1202315.964973056</v>
      </c>
      <c r="D104" s="14"/>
      <c r="E104" s="14">
        <f t="shared" si="10"/>
        <v>676302.73029734404</v>
      </c>
      <c r="F104" s="14">
        <f t="shared" si="11"/>
        <v>372887808.06844407</v>
      </c>
      <c r="G104" s="1"/>
      <c r="H104" s="4">
        <v>372887808.06999999</v>
      </c>
      <c r="I104" s="7">
        <f t="shared" si="13"/>
        <v>9.1514372043588858E-3</v>
      </c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>
      <c r="A105" s="1" t="s">
        <v>148</v>
      </c>
      <c r="B105" s="14">
        <f t="shared" si="14"/>
        <v>1502894.9562163199</v>
      </c>
      <c r="C105" s="14">
        <f t="shared" si="8"/>
        <v>1202315.964973056</v>
      </c>
      <c r="D105" s="14"/>
      <c r="E105" s="14">
        <f t="shared" si="10"/>
        <v>676302.73029734404</v>
      </c>
      <c r="F105" s="14">
        <f t="shared" si="11"/>
        <v>376269321.71993077</v>
      </c>
      <c r="G105" s="1"/>
      <c r="H105" s="4">
        <v>376269321.72000003</v>
      </c>
      <c r="I105" s="7">
        <f t="shared" si="13"/>
        <v>9.0684478731073038E-3</v>
      </c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>
      <c r="A106" s="1" t="s">
        <v>149</v>
      </c>
      <c r="B106" s="14">
        <f t="shared" si="14"/>
        <v>1502894.9562163199</v>
      </c>
      <c r="C106" s="14">
        <f t="shared" si="8"/>
        <v>1202315.964973056</v>
      </c>
      <c r="D106" s="14"/>
      <c r="E106" s="14">
        <f t="shared" si="10"/>
        <v>676302.73029734404</v>
      </c>
      <c r="F106" s="14">
        <f t="shared" si="11"/>
        <v>379650835.37141746</v>
      </c>
      <c r="G106" s="1"/>
      <c r="H106" s="4">
        <v>379650835.37</v>
      </c>
      <c r="I106" s="7">
        <f t="shared" si="13"/>
        <v>8.9869501838268969E-3</v>
      </c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>
      <c r="A107" s="1" t="s">
        <v>150</v>
      </c>
      <c r="B107" s="14">
        <f t="shared" si="14"/>
        <v>1502894.9562163199</v>
      </c>
      <c r="C107" s="14">
        <f t="shared" si="8"/>
        <v>1202315.964973056</v>
      </c>
      <c r="D107" s="14"/>
      <c r="E107" s="14">
        <f t="shared" si="10"/>
        <v>676302.73029734404</v>
      </c>
      <c r="F107" s="14">
        <f t="shared" si="11"/>
        <v>383032349.02290416</v>
      </c>
      <c r="G107" s="1"/>
      <c r="H107" s="4">
        <v>383032349.01999998</v>
      </c>
      <c r="I107" s="7">
        <f t="shared" si="13"/>
        <v>8.9069042787813749E-3</v>
      </c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>
      <c r="A108" s="1" t="s">
        <v>151</v>
      </c>
      <c r="B108" s="14">
        <f t="shared" si="14"/>
        <v>1502894.9562163199</v>
      </c>
      <c r="C108" s="14">
        <f t="shared" si="8"/>
        <v>1202315.964973056</v>
      </c>
      <c r="D108" s="14"/>
      <c r="E108" s="14">
        <f t="shared" si="10"/>
        <v>676302.73029734404</v>
      </c>
      <c r="F108" s="14">
        <f t="shared" si="11"/>
        <v>386413862.67439085</v>
      </c>
      <c r="G108" s="1"/>
      <c r="H108" s="4">
        <v>386413862.67000002</v>
      </c>
      <c r="I108" s="7">
        <f t="shared" si="13"/>
        <v>8.8282717077336741E-3</v>
      </c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>
      <c r="A109" s="1" t="s">
        <v>152</v>
      </c>
      <c r="B109" s="14">
        <f t="shared" si="14"/>
        <v>1502894.9562163199</v>
      </c>
      <c r="C109" s="14">
        <f t="shared" si="8"/>
        <v>1202315.964973056</v>
      </c>
      <c r="D109" s="14"/>
      <c r="E109" s="14">
        <f t="shared" si="10"/>
        <v>676302.73029734404</v>
      </c>
      <c r="F109" s="14">
        <f t="shared" si="11"/>
        <v>389795376.32587755</v>
      </c>
      <c r="G109" s="1"/>
      <c r="H109" s="4">
        <v>389795376.32999998</v>
      </c>
      <c r="I109" s="7">
        <f t="shared" si="13"/>
        <v>8.7510153922396965E-3</v>
      </c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>
      <c r="A110" s="1" t="s">
        <v>153</v>
      </c>
      <c r="B110" s="14">
        <f t="shared" si="14"/>
        <v>1502894.9562163199</v>
      </c>
      <c r="C110" s="14">
        <f t="shared" si="8"/>
        <v>1202315.964973056</v>
      </c>
      <c r="D110" s="14"/>
      <c r="E110" s="14">
        <f t="shared" si="10"/>
        <v>676302.73029734404</v>
      </c>
      <c r="F110" s="14">
        <f t="shared" si="11"/>
        <v>393176889.97736424</v>
      </c>
      <c r="G110" s="1"/>
      <c r="H110" s="4">
        <v>393176889.98000002</v>
      </c>
      <c r="I110" s="7">
        <f t="shared" si="13"/>
        <v>8.6750994376527772E-3</v>
      </c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>
      <c r="A111" s="1" t="s">
        <v>154</v>
      </c>
      <c r="B111" s="14">
        <f t="shared" si="14"/>
        <v>1502894.9562163199</v>
      </c>
      <c r="C111" s="14">
        <f t="shared" si="8"/>
        <v>1202315.964973056</v>
      </c>
      <c r="D111" s="14"/>
      <c r="E111" s="14">
        <f t="shared" si="10"/>
        <v>676302.73029734404</v>
      </c>
      <c r="F111" s="14">
        <f t="shared" si="11"/>
        <v>396558403.62885094</v>
      </c>
      <c r="G111" s="1"/>
      <c r="H111" s="4">
        <v>396558403.63</v>
      </c>
      <c r="I111" s="7">
        <f t="shared" si="13"/>
        <v>8.6004893374378791E-3</v>
      </c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>
      <c r="A112" s="1" t="s">
        <v>155</v>
      </c>
      <c r="B112" s="14">
        <f t="shared" si="14"/>
        <v>1502894.9562163199</v>
      </c>
      <c r="C112" s="14">
        <f t="shared" si="8"/>
        <v>1202315.964973056</v>
      </c>
      <c r="D112" s="14"/>
      <c r="E112" s="14">
        <f t="shared" si="10"/>
        <v>676302.73029734404</v>
      </c>
      <c r="F112" s="14">
        <f t="shared" si="11"/>
        <v>399939917.28033763</v>
      </c>
      <c r="G112" s="1"/>
      <c r="H112" s="4">
        <v>399939917.27999997</v>
      </c>
      <c r="I112" s="7">
        <f t="shared" si="13"/>
        <v>8.5271516605030066E-3</v>
      </c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>
      <c r="A113" s="1" t="s">
        <v>156</v>
      </c>
      <c r="B113" s="14">
        <f t="shared" si="14"/>
        <v>1502894.9562163199</v>
      </c>
      <c r="C113" s="14">
        <f t="shared" si="8"/>
        <v>1202315.964973056</v>
      </c>
      <c r="D113" s="14"/>
      <c r="E113" s="14">
        <f t="shared" si="10"/>
        <v>676302.73029734404</v>
      </c>
      <c r="F113" s="14">
        <f t="shared" si="11"/>
        <v>403321430.93182433</v>
      </c>
      <c r="G113" s="1"/>
      <c r="H113" s="4">
        <v>403321430.93000001</v>
      </c>
      <c r="I113" s="7">
        <f t="shared" si="13"/>
        <v>8.4550541316250286E-3</v>
      </c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>
      <c r="A114" s="1" t="s">
        <v>157</v>
      </c>
      <c r="B114" s="14">
        <f>B113*(1-$J$1)</f>
        <v>1442779.1579676671</v>
      </c>
      <c r="C114" s="14">
        <f t="shared" si="8"/>
        <v>1154223.3263741338</v>
      </c>
      <c r="D114" s="14"/>
      <c r="E114" s="14">
        <f t="shared" si="10"/>
        <v>649250.62108545029</v>
      </c>
      <c r="F114" s="14">
        <f t="shared" si="11"/>
        <v>406567684.03725159</v>
      </c>
      <c r="G114" s="1"/>
      <c r="H114" s="4">
        <v>406567684.04000002</v>
      </c>
      <c r="I114" s="7">
        <f t="shared" si="13"/>
        <v>8.0487989505408416E-3</v>
      </c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>
      <c r="A115" s="1" t="s">
        <v>158</v>
      </c>
      <c r="B115" s="14">
        <f>B114</f>
        <v>1442779.1579676671</v>
      </c>
      <c r="C115" s="14">
        <f t="shared" si="8"/>
        <v>1154223.3263741338</v>
      </c>
      <c r="D115" s="14"/>
      <c r="E115" s="14">
        <f t="shared" si="10"/>
        <v>649250.62108545029</v>
      </c>
      <c r="F115" s="14">
        <f t="shared" si="11"/>
        <v>409813937.14267886</v>
      </c>
      <c r="G115" s="1"/>
      <c r="H115" s="4">
        <v>409813937.13999999</v>
      </c>
      <c r="I115" s="7">
        <f t="shared" si="13"/>
        <v>7.9845330247166977E-3</v>
      </c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>
      <c r="A116" s="1" t="s">
        <v>159</v>
      </c>
      <c r="B116" s="14">
        <f t="shared" ref="B116:B124" si="15">B115</f>
        <v>1442779.1579676671</v>
      </c>
      <c r="C116" s="14">
        <f t="shared" si="8"/>
        <v>1154223.3263741338</v>
      </c>
      <c r="D116" s="14"/>
      <c r="E116" s="14">
        <f t="shared" si="10"/>
        <v>649250.62108545029</v>
      </c>
      <c r="F116" s="14">
        <f t="shared" si="11"/>
        <v>413060190.24810612</v>
      </c>
      <c r="G116" s="1"/>
      <c r="H116" s="4">
        <v>413060190.25</v>
      </c>
      <c r="I116" s="7">
        <f t="shared" si="13"/>
        <v>7.9212852853538622E-3</v>
      </c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>
      <c r="A117" s="1" t="s">
        <v>160</v>
      </c>
      <c r="B117" s="14">
        <f t="shared" si="15"/>
        <v>1442779.1579676671</v>
      </c>
      <c r="C117" s="14">
        <f t="shared" si="8"/>
        <v>1154223.3263741338</v>
      </c>
      <c r="D117" s="14"/>
      <c r="E117" s="14">
        <f t="shared" si="10"/>
        <v>649250.62108545029</v>
      </c>
      <c r="F117" s="14">
        <f t="shared" si="11"/>
        <v>416306443.35353339</v>
      </c>
      <c r="G117" s="1"/>
      <c r="H117" s="4">
        <v>416306443.35000002</v>
      </c>
      <c r="I117" s="7">
        <f t="shared" si="13"/>
        <v>7.8590316293498681E-3</v>
      </c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>
      <c r="A118" s="1" t="s">
        <v>161</v>
      </c>
      <c r="B118" s="14">
        <f t="shared" si="15"/>
        <v>1442779.1579676671</v>
      </c>
      <c r="C118" s="14">
        <f>B118*$H$4</f>
        <v>865667.49478060019</v>
      </c>
      <c r="D118" s="14"/>
      <c r="E118" s="14">
        <f t="shared" si="10"/>
        <v>577111.66318706679</v>
      </c>
      <c r="F118" s="14">
        <f t="shared" si="11"/>
        <v>419192001.6694687</v>
      </c>
      <c r="G118" s="1"/>
      <c r="H118" s="4">
        <v>419192001.67000002</v>
      </c>
      <c r="I118" s="7">
        <f t="shared" si="13"/>
        <v>6.9313323540707884E-3</v>
      </c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>
      <c r="A119" s="1" t="s">
        <v>162</v>
      </c>
      <c r="B119" s="14">
        <f t="shared" si="15"/>
        <v>1442779.1579676671</v>
      </c>
      <c r="C119" s="14">
        <f t="shared" ref="C119:C167" si="16">B119*$H$4</f>
        <v>865667.49478060019</v>
      </c>
      <c r="D119" s="14"/>
      <c r="E119" s="14">
        <f t="shared" si="10"/>
        <v>577111.66318706679</v>
      </c>
      <c r="F119" s="14">
        <f t="shared" si="11"/>
        <v>422077559.98540401</v>
      </c>
      <c r="G119" s="1"/>
      <c r="H119" s="4">
        <v>422077559.99000001</v>
      </c>
      <c r="I119" s="7">
        <f t="shared" si="13"/>
        <v>6.8836196981439243E-3</v>
      </c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>
      <c r="A120" s="1" t="s">
        <v>163</v>
      </c>
      <c r="B120" s="14">
        <f t="shared" si="15"/>
        <v>1442779.1579676671</v>
      </c>
      <c r="C120" s="14">
        <f t="shared" si="16"/>
        <v>865667.49478060019</v>
      </c>
      <c r="D120" s="14"/>
      <c r="E120" s="14">
        <f t="shared" si="10"/>
        <v>577111.66318706679</v>
      </c>
      <c r="F120" s="14">
        <f t="shared" si="11"/>
        <v>424963118.30133933</v>
      </c>
      <c r="G120" s="1"/>
      <c r="H120" s="4">
        <v>424963118.30000001</v>
      </c>
      <c r="I120" s="7">
        <f t="shared" si="13"/>
        <v>6.8365593993397044E-3</v>
      </c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>
      <c r="A121" s="1" t="s">
        <v>164</v>
      </c>
      <c r="B121" s="14">
        <f t="shared" si="15"/>
        <v>1442779.1579676671</v>
      </c>
      <c r="C121" s="14">
        <f t="shared" si="16"/>
        <v>865667.49478060019</v>
      </c>
      <c r="D121" s="14"/>
      <c r="E121" s="14">
        <f t="shared" si="10"/>
        <v>577111.66318706679</v>
      </c>
      <c r="F121" s="14">
        <f t="shared" si="11"/>
        <v>427848676.61727464</v>
      </c>
      <c r="G121" s="1"/>
      <c r="H121" s="4">
        <v>427848676.62</v>
      </c>
      <c r="I121" s="7">
        <f t="shared" si="13"/>
        <v>6.790138239627071E-3</v>
      </c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>
      <c r="A122" s="1" t="s">
        <v>165</v>
      </c>
      <c r="B122" s="14">
        <f t="shared" si="15"/>
        <v>1442779.1579676671</v>
      </c>
      <c r="C122" s="14">
        <f t="shared" si="16"/>
        <v>865667.49478060019</v>
      </c>
      <c r="D122" s="14"/>
      <c r="E122" s="14">
        <f t="shared" si="10"/>
        <v>577111.66318706679</v>
      </c>
      <c r="F122" s="14">
        <f t="shared" si="11"/>
        <v>430734234.93320996</v>
      </c>
      <c r="G122" s="1"/>
      <c r="H122" s="4">
        <v>430734234.93000001</v>
      </c>
      <c r="I122" s="7">
        <f t="shared" si="13"/>
        <v>6.7443431934764465E-3</v>
      </c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>
      <c r="A123" s="1" t="s">
        <v>166</v>
      </c>
      <c r="B123" s="14">
        <f t="shared" si="15"/>
        <v>1442779.1579676671</v>
      </c>
      <c r="C123" s="14">
        <f t="shared" si="16"/>
        <v>865667.49478060019</v>
      </c>
      <c r="D123" s="14"/>
      <c r="E123" s="14">
        <f t="shared" si="10"/>
        <v>577111.66318706679</v>
      </c>
      <c r="F123" s="14">
        <f t="shared" si="11"/>
        <v>433619793.24914527</v>
      </c>
      <c r="G123" s="1"/>
      <c r="H123" s="4">
        <v>433619793.25</v>
      </c>
      <c r="I123" s="7">
        <f t="shared" si="13"/>
        <v>6.6991617707585606E-3</v>
      </c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>
      <c r="A124" s="1" t="s">
        <v>167</v>
      </c>
      <c r="B124" s="14">
        <f t="shared" si="15"/>
        <v>1442779.1579676671</v>
      </c>
      <c r="C124" s="14">
        <f t="shared" si="16"/>
        <v>865667.49478060019</v>
      </c>
      <c r="D124" s="14"/>
      <c r="E124" s="14">
        <f t="shared" si="10"/>
        <v>577111.66318706679</v>
      </c>
      <c r="F124" s="14">
        <f t="shared" si="11"/>
        <v>436505351.56508058</v>
      </c>
      <c r="G124" s="1"/>
      <c r="H124" s="4">
        <v>436505351.56999999</v>
      </c>
      <c r="I124" s="7">
        <f t="shared" si="13"/>
        <v>6.6545816517567212E-3</v>
      </c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>
      <c r="A125" s="1" t="s">
        <v>168</v>
      </c>
      <c r="B125" s="14">
        <f>B124</f>
        <v>1442779.1579676671</v>
      </c>
      <c r="C125" s="14">
        <f t="shared" si="16"/>
        <v>865667.49478060019</v>
      </c>
      <c r="D125" s="14"/>
      <c r="E125" s="14">
        <f t="shared" si="10"/>
        <v>577111.66318706679</v>
      </c>
      <c r="F125" s="14">
        <f t="shared" si="11"/>
        <v>439390909.8810159</v>
      </c>
      <c r="G125" s="1"/>
      <c r="H125" s="4">
        <v>439390909.88</v>
      </c>
      <c r="I125" s="7">
        <f t="shared" si="13"/>
        <v>6.6105909117067513E-3</v>
      </c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>
      <c r="A126" s="1" t="s">
        <v>169</v>
      </c>
      <c r="B126" s="14">
        <f>B125*(1-$J$1)</f>
        <v>1385067.9916489604</v>
      </c>
      <c r="C126" s="14">
        <f t="shared" si="16"/>
        <v>831040.79498937621</v>
      </c>
      <c r="D126" s="14"/>
      <c r="E126" s="14">
        <f t="shared" si="10"/>
        <v>554027.19665958418</v>
      </c>
      <c r="F126" s="14">
        <f t="shared" si="11"/>
        <v>442161045.86431384</v>
      </c>
      <c r="G126" s="1"/>
      <c r="H126" s="4">
        <v>442161045.86000001</v>
      </c>
      <c r="I126" s="7">
        <f t="shared" si="13"/>
        <v>6.304490870684052E-3</v>
      </c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>
      <c r="A127" s="1" t="s">
        <v>170</v>
      </c>
      <c r="B127" s="14">
        <f>B126</f>
        <v>1385067.9916489604</v>
      </c>
      <c r="C127" s="14">
        <f t="shared" si="16"/>
        <v>831040.79498937621</v>
      </c>
      <c r="D127" s="14"/>
      <c r="E127" s="14">
        <f t="shared" si="10"/>
        <v>554027.19665958418</v>
      </c>
      <c r="F127" s="14">
        <f t="shared" si="11"/>
        <v>444931181.84761178</v>
      </c>
      <c r="G127" s="1"/>
      <c r="H127" s="4">
        <v>444931181.85000002</v>
      </c>
      <c r="I127" s="7">
        <f t="shared" si="13"/>
        <v>6.264993300375693E-3</v>
      </c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>
      <c r="A128" s="1" t="s">
        <v>171</v>
      </c>
      <c r="B128" s="14">
        <f t="shared" ref="B128:B191" si="17">B127</f>
        <v>1385067.9916489604</v>
      </c>
      <c r="C128" s="14">
        <f t="shared" si="16"/>
        <v>831040.79498937621</v>
      </c>
      <c r="D128" s="14"/>
      <c r="E128" s="14">
        <f t="shared" si="10"/>
        <v>554027.19665958418</v>
      </c>
      <c r="F128" s="14">
        <f t="shared" si="11"/>
        <v>447701317.83090973</v>
      </c>
      <c r="G128" s="1"/>
      <c r="H128" s="4">
        <v>447701317.82999998</v>
      </c>
      <c r="I128" s="7">
        <f t="shared" si="13"/>
        <v>6.2259875077352016E-3</v>
      </c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>
      <c r="A129" s="1" t="s">
        <v>172</v>
      </c>
      <c r="B129" s="14">
        <f t="shared" si="17"/>
        <v>1385067.9916489604</v>
      </c>
      <c r="C129" s="14">
        <f t="shared" si="16"/>
        <v>831040.79498937621</v>
      </c>
      <c r="D129" s="14"/>
      <c r="E129" s="14">
        <f t="shared" si="10"/>
        <v>554027.19665958418</v>
      </c>
      <c r="F129" s="14">
        <f t="shared" si="11"/>
        <v>450471453.81420767</v>
      </c>
      <c r="G129" s="1"/>
      <c r="H129" s="4">
        <v>450471453.81</v>
      </c>
      <c r="I129" s="7">
        <f t="shared" si="13"/>
        <v>6.1874644314803828E-3</v>
      </c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>
      <c r="A130" s="1" t="s">
        <v>173</v>
      </c>
      <c r="B130" s="14">
        <f t="shared" si="17"/>
        <v>1385067.9916489604</v>
      </c>
      <c r="C130" s="14">
        <f t="shared" si="16"/>
        <v>831040.79498937621</v>
      </c>
      <c r="D130" s="14"/>
      <c r="E130" s="14">
        <f t="shared" si="10"/>
        <v>554027.19665958418</v>
      </c>
      <c r="F130" s="14">
        <f t="shared" si="11"/>
        <v>453241589.79750562</v>
      </c>
      <c r="G130" s="1"/>
      <c r="H130" s="4">
        <v>453241589.80000001</v>
      </c>
      <c r="I130" s="7">
        <f t="shared" si="13"/>
        <v>6.1494151662014043E-3</v>
      </c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>
      <c r="A131" s="1" t="s">
        <v>174</v>
      </c>
      <c r="B131" s="14">
        <f t="shared" si="17"/>
        <v>1385067.9916489604</v>
      </c>
      <c r="C131" s="14">
        <f t="shared" si="16"/>
        <v>831040.79498937621</v>
      </c>
      <c r="D131" s="14"/>
      <c r="E131" s="14">
        <f t="shared" si="10"/>
        <v>554027.19665958418</v>
      </c>
      <c r="F131" s="14">
        <f t="shared" si="11"/>
        <v>456011725.78080356</v>
      </c>
      <c r="G131" s="1"/>
      <c r="H131" s="4">
        <v>456011725.77999997</v>
      </c>
      <c r="I131" s="7">
        <f t="shared" si="13"/>
        <v>6.1118309580158467E-3</v>
      </c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>
      <c r="A132" s="1" t="s">
        <v>175</v>
      </c>
      <c r="B132" s="14">
        <f t="shared" si="17"/>
        <v>1385067.9916489604</v>
      </c>
      <c r="C132" s="14">
        <f t="shared" si="16"/>
        <v>831040.79498937621</v>
      </c>
      <c r="D132" s="14"/>
      <c r="E132" s="14">
        <f t="shared" si="10"/>
        <v>554027.19665958418</v>
      </c>
      <c r="F132" s="14">
        <f t="shared" si="11"/>
        <v>458781861.76410151</v>
      </c>
      <c r="G132" s="1"/>
      <c r="H132" s="4">
        <v>458781861.75999999</v>
      </c>
      <c r="I132" s="7">
        <f t="shared" si="13"/>
        <v>6.0747033977289738E-3</v>
      </c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>
      <c r="A133" s="1" t="s">
        <v>176</v>
      </c>
      <c r="B133" s="14">
        <f t="shared" si="17"/>
        <v>1385067.9916489604</v>
      </c>
      <c r="C133" s="14">
        <f t="shared" si="16"/>
        <v>831040.79498937621</v>
      </c>
      <c r="D133" s="14"/>
      <c r="E133" s="14">
        <f t="shared" si="10"/>
        <v>554027.19665958418</v>
      </c>
      <c r="F133" s="14">
        <f t="shared" si="11"/>
        <v>461551997.74739945</v>
      </c>
      <c r="G133" s="1"/>
      <c r="H133" s="4">
        <v>461551997.75</v>
      </c>
      <c r="I133" s="7">
        <f t="shared" si="13"/>
        <v>6.03802421345318E-3</v>
      </c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>
      <c r="A134" s="1" t="s">
        <v>177</v>
      </c>
      <c r="B134" s="14">
        <f t="shared" si="17"/>
        <v>1385067.9916489604</v>
      </c>
      <c r="C134" s="14">
        <f t="shared" si="16"/>
        <v>831040.79498937621</v>
      </c>
      <c r="D134" s="14"/>
      <c r="E134" s="14">
        <f t="shared" si="10"/>
        <v>554027.19665958418</v>
      </c>
      <c r="F134" s="14">
        <f t="shared" si="11"/>
        <v>464322133.73069739</v>
      </c>
      <c r="G134" s="1"/>
      <c r="H134" s="4">
        <v>464322133.73000002</v>
      </c>
      <c r="I134" s="7">
        <f t="shared" si="13"/>
        <v>6.0017852668909156E-3</v>
      </c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>
      <c r="A135" s="1" t="s">
        <v>178</v>
      </c>
      <c r="B135" s="14">
        <f t="shared" si="17"/>
        <v>1385067.9916489604</v>
      </c>
      <c r="C135" s="14">
        <f t="shared" si="16"/>
        <v>831040.79498937621</v>
      </c>
      <c r="D135" s="14"/>
      <c r="E135" s="14">
        <f t="shared" si="10"/>
        <v>554027.19665958418</v>
      </c>
      <c r="F135" s="14">
        <f t="shared" si="11"/>
        <v>467092269.71399534</v>
      </c>
      <c r="G135" s="1"/>
      <c r="H135" s="4">
        <v>467092269.70999998</v>
      </c>
      <c r="I135" s="7">
        <f t="shared" si="13"/>
        <v>5.9659787435650735E-3</v>
      </c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>
      <c r="A136" s="1" t="s">
        <v>179</v>
      </c>
      <c r="B136" s="14">
        <f t="shared" si="17"/>
        <v>1385067.9916489604</v>
      </c>
      <c r="C136" s="14">
        <f t="shared" si="16"/>
        <v>831040.79498937621</v>
      </c>
      <c r="D136" s="14"/>
      <c r="E136" s="14">
        <f t="shared" si="10"/>
        <v>554027.19665958418</v>
      </c>
      <c r="F136" s="14">
        <f t="shared" si="11"/>
        <v>469862405.69729328</v>
      </c>
      <c r="G136" s="1"/>
      <c r="H136" s="4">
        <v>469862405.69999999</v>
      </c>
      <c r="I136" s="7">
        <f t="shared" si="13"/>
        <v>5.9305969497630154E-3</v>
      </c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>
      <c r="A137" s="1" t="s">
        <v>180</v>
      </c>
      <c r="B137" s="14">
        <f t="shared" si="17"/>
        <v>1385067.9916489604</v>
      </c>
      <c r="C137" s="14">
        <f t="shared" si="16"/>
        <v>831040.79498937621</v>
      </c>
      <c r="D137" s="14"/>
      <c r="E137" s="14">
        <f t="shared" si="10"/>
        <v>554027.19665958418</v>
      </c>
      <c r="F137" s="14">
        <f t="shared" si="11"/>
        <v>472632541.68059123</v>
      </c>
      <c r="G137" s="1"/>
      <c r="H137" s="4">
        <v>472632541.68000001</v>
      </c>
      <c r="I137" s="7">
        <f t="shared" si="13"/>
        <v>5.8956323093631562E-3</v>
      </c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>
      <c r="A138" s="1" t="s">
        <v>181</v>
      </c>
      <c r="B138" s="14">
        <f>B137*(1-$J$1)</f>
        <v>1329665.2719830018</v>
      </c>
      <c r="C138" s="14">
        <f t="shared" si="16"/>
        <v>797799.16318980104</v>
      </c>
      <c r="D138" s="14"/>
      <c r="E138" s="14">
        <f t="shared" si="10"/>
        <v>531866.10879320069</v>
      </c>
      <c r="F138" s="14">
        <f t="shared" si="11"/>
        <v>475291872.22455722</v>
      </c>
      <c r="G138" s="1"/>
      <c r="H138" s="4">
        <v>475291872.22000003</v>
      </c>
      <c r="I138" s="7">
        <f t="shared" si="13"/>
        <v>5.6266344474446795E-3</v>
      </c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>
      <c r="A139" s="1" t="s">
        <v>182</v>
      </c>
      <c r="B139" s="14">
        <f t="shared" si="17"/>
        <v>1329665.2719830018</v>
      </c>
      <c r="C139" s="14">
        <f t="shared" si="16"/>
        <v>797799.16318980104</v>
      </c>
      <c r="D139" s="14"/>
      <c r="E139" s="14">
        <f t="shared" si="10"/>
        <v>531866.10879320069</v>
      </c>
      <c r="F139" s="14">
        <f t="shared" si="11"/>
        <v>477951202.76852322</v>
      </c>
      <c r="G139" s="1"/>
      <c r="H139" s="4">
        <v>477951202.76999998</v>
      </c>
      <c r="I139" s="7">
        <f t="shared" si="13"/>
        <v>5.5951525902993319E-3</v>
      </c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>
      <c r="A140" s="1" t="s">
        <v>183</v>
      </c>
      <c r="B140" s="14">
        <f t="shared" si="17"/>
        <v>1329665.2719830018</v>
      </c>
      <c r="C140" s="14">
        <f t="shared" si="16"/>
        <v>797799.16318980104</v>
      </c>
      <c r="D140" s="14"/>
      <c r="E140" s="14">
        <f t="shared" si="10"/>
        <v>531866.10879320069</v>
      </c>
      <c r="F140" s="14">
        <f t="shared" si="11"/>
        <v>480610533.31248921</v>
      </c>
      <c r="G140" s="1"/>
      <c r="H140" s="4">
        <v>480610533.31</v>
      </c>
      <c r="I140" s="7">
        <f t="shared" si="13"/>
        <v>5.5640210226225676E-3</v>
      </c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>
      <c r="A141" s="1" t="s">
        <v>184</v>
      </c>
      <c r="B141" s="14">
        <f t="shared" si="17"/>
        <v>1329665.2719830018</v>
      </c>
      <c r="C141" s="14">
        <f t="shared" si="16"/>
        <v>797799.16318980104</v>
      </c>
      <c r="D141" s="14"/>
      <c r="E141" s="14">
        <f t="shared" si="10"/>
        <v>531866.10879320069</v>
      </c>
      <c r="F141" s="14">
        <f t="shared" si="11"/>
        <v>483269863.85645521</v>
      </c>
      <c r="G141" s="1"/>
      <c r="H141" s="4">
        <v>483269863.86000001</v>
      </c>
      <c r="I141" s="7">
        <f t="shared" si="13"/>
        <v>5.533234013172802E-3</v>
      </c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>
      <c r="A142" s="1" t="s">
        <v>185</v>
      </c>
      <c r="B142" s="14">
        <f t="shared" si="17"/>
        <v>1329665.2719830018</v>
      </c>
      <c r="C142" s="14">
        <f t="shared" si="16"/>
        <v>797799.16318980104</v>
      </c>
      <c r="D142" s="14"/>
      <c r="E142" s="14">
        <f t="shared" si="10"/>
        <v>531866.10879320069</v>
      </c>
      <c r="F142" s="14">
        <f t="shared" si="11"/>
        <v>485929194.4004212</v>
      </c>
      <c r="G142" s="1"/>
      <c r="H142" s="4">
        <v>485929194.39999998</v>
      </c>
      <c r="I142" s="7">
        <f t="shared" si="13"/>
        <v>5.5027857908606353E-3</v>
      </c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>
      <c r="A143" s="1" t="s">
        <v>186</v>
      </c>
      <c r="B143" s="14">
        <f t="shared" si="17"/>
        <v>1329665.2719830018</v>
      </c>
      <c r="C143" s="14">
        <f t="shared" si="16"/>
        <v>797799.16318980104</v>
      </c>
      <c r="D143" s="14"/>
      <c r="E143" s="14">
        <f t="shared" si="10"/>
        <v>531866.10879320069</v>
      </c>
      <c r="F143" s="14">
        <f t="shared" si="11"/>
        <v>488588524.9443872</v>
      </c>
      <c r="G143" s="1"/>
      <c r="H143" s="4">
        <v>488588524.94</v>
      </c>
      <c r="I143" s="7">
        <f t="shared" si="13"/>
        <v>5.4726708554393901E-3</v>
      </c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>
      <c r="A144" s="1" t="s">
        <v>187</v>
      </c>
      <c r="B144" s="14">
        <f t="shared" si="17"/>
        <v>1329665.2719830018</v>
      </c>
      <c r="C144" s="14">
        <f t="shared" si="16"/>
        <v>797799.16318980104</v>
      </c>
      <c r="D144" s="14"/>
      <c r="E144" s="14">
        <f t="shared" si="10"/>
        <v>531866.10879320069</v>
      </c>
      <c r="F144" s="14">
        <f t="shared" si="11"/>
        <v>491247855.48835319</v>
      </c>
      <c r="G144" s="1"/>
      <c r="H144" s="4">
        <v>491247855.49000001</v>
      </c>
      <c r="I144" s="7">
        <f t="shared" si="13"/>
        <v>5.442883764670046E-3</v>
      </c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>
      <c r="A145" s="1" t="s">
        <v>188</v>
      </c>
      <c r="B145" s="14">
        <f t="shared" si="17"/>
        <v>1329665.2719830018</v>
      </c>
      <c r="C145" s="14">
        <f t="shared" si="16"/>
        <v>797799.16318980104</v>
      </c>
      <c r="D145" s="14"/>
      <c r="E145" s="14">
        <f t="shared" si="10"/>
        <v>531866.10879320069</v>
      </c>
      <c r="F145" s="14">
        <f t="shared" si="11"/>
        <v>493907186.03231919</v>
      </c>
      <c r="G145" s="1"/>
      <c r="H145" s="4">
        <v>493907186.02999997</v>
      </c>
      <c r="I145" s="7">
        <f t="shared" si="13"/>
        <v>5.4134191330919628E-3</v>
      </c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>
      <c r="A146" s="1" t="s">
        <v>189</v>
      </c>
      <c r="B146" s="14">
        <f t="shared" si="17"/>
        <v>1329665.2719830018</v>
      </c>
      <c r="C146" s="14">
        <f t="shared" si="16"/>
        <v>797799.16318980104</v>
      </c>
      <c r="D146" s="14"/>
      <c r="E146" s="14">
        <f t="shared" si="10"/>
        <v>531866.10879320069</v>
      </c>
      <c r="F146" s="14">
        <f t="shared" si="11"/>
        <v>496566516.57628518</v>
      </c>
      <c r="G146" s="1"/>
      <c r="H146" s="4">
        <v>496566516.57999998</v>
      </c>
      <c r="I146" s="7">
        <f t="shared" si="13"/>
        <v>5.3842718332882972E-3</v>
      </c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>
      <c r="A147" s="1" t="s">
        <v>190</v>
      </c>
      <c r="B147" s="14">
        <f t="shared" si="17"/>
        <v>1329665.2719830018</v>
      </c>
      <c r="C147" s="14">
        <f t="shared" si="16"/>
        <v>797799.16318980104</v>
      </c>
      <c r="D147" s="14"/>
      <c r="E147" s="14">
        <f t="shared" ref="E147:E210" si="18">(B147+C147+D147)*25%</f>
        <v>531866.10879320069</v>
      </c>
      <c r="F147" s="14">
        <f t="shared" ref="F147:F210" si="19">F146+SUM(B147:E147)</f>
        <v>499225847.12025118</v>
      </c>
      <c r="G147" s="1"/>
      <c r="H147" s="4">
        <v>499225847.12</v>
      </c>
      <c r="I147" s="7">
        <f t="shared" si="13"/>
        <v>5.3554366861374688E-3</v>
      </c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>
      <c r="A148" s="1" t="s">
        <v>191</v>
      </c>
      <c r="B148" s="14">
        <f t="shared" si="17"/>
        <v>1329665.2719830018</v>
      </c>
      <c r="C148" s="14">
        <f t="shared" si="16"/>
        <v>797799.16318980104</v>
      </c>
      <c r="D148" s="14"/>
      <c r="E148" s="14">
        <f t="shared" si="18"/>
        <v>531866.10879320069</v>
      </c>
      <c r="F148" s="14">
        <f t="shared" si="19"/>
        <v>501885177.66421717</v>
      </c>
      <c r="G148" s="1"/>
      <c r="H148" s="4">
        <v>501885177.66000003</v>
      </c>
      <c r="I148" s="7">
        <f t="shared" si="13"/>
        <v>5.3269087635215975E-3</v>
      </c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>
      <c r="A149" s="1" t="s">
        <v>192</v>
      </c>
      <c r="B149" s="14">
        <f t="shared" si="17"/>
        <v>1329665.2719830018</v>
      </c>
      <c r="C149" s="14">
        <f t="shared" si="16"/>
        <v>797799.16318980104</v>
      </c>
      <c r="D149" s="14"/>
      <c r="E149" s="14">
        <f t="shared" si="18"/>
        <v>531866.10879320069</v>
      </c>
      <c r="F149" s="14">
        <f t="shared" si="19"/>
        <v>504544508.20818317</v>
      </c>
      <c r="G149" s="1"/>
      <c r="H149" s="4">
        <v>504544508.20999998</v>
      </c>
      <c r="I149" s="7">
        <f t="shared" si="13"/>
        <v>5.2986831816768743E-3</v>
      </c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>
      <c r="A150" s="1" t="s">
        <v>193</v>
      </c>
      <c r="B150" s="14">
        <f>B149*(1-$J$1)</f>
        <v>1276478.6611036817</v>
      </c>
      <c r="C150" s="14">
        <f t="shared" si="16"/>
        <v>765887.196662209</v>
      </c>
      <c r="D150" s="14"/>
      <c r="E150" s="14">
        <f t="shared" si="18"/>
        <v>510591.46444147266</v>
      </c>
      <c r="F150" s="14">
        <f t="shared" si="19"/>
        <v>507097465.53039056</v>
      </c>
      <c r="G150" s="1"/>
      <c r="H150" s="4">
        <v>507097465.52999997</v>
      </c>
      <c r="I150" s="7">
        <f t="shared" si="13"/>
        <v>5.0599248995044236E-3</v>
      </c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>
      <c r="A151" s="1" t="s">
        <v>194</v>
      </c>
      <c r="B151" s="14">
        <f t="shared" si="17"/>
        <v>1276478.6611036817</v>
      </c>
      <c r="C151" s="14">
        <f t="shared" si="16"/>
        <v>765887.196662209</v>
      </c>
      <c r="D151" s="14"/>
      <c r="E151" s="14">
        <f t="shared" si="18"/>
        <v>510591.46444147266</v>
      </c>
      <c r="F151" s="14">
        <f t="shared" si="19"/>
        <v>509650422.85259795</v>
      </c>
      <c r="G151" s="1"/>
      <c r="H151" s="4">
        <v>509650422.85000002</v>
      </c>
      <c r="I151" s="7">
        <f t="shared" si="13"/>
        <v>5.0344509557581673E-3</v>
      </c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>
      <c r="A152" s="1" t="s">
        <v>195</v>
      </c>
      <c r="B152" s="14">
        <f t="shared" si="17"/>
        <v>1276478.6611036817</v>
      </c>
      <c r="C152" s="14">
        <f t="shared" si="16"/>
        <v>765887.196662209</v>
      </c>
      <c r="D152" s="14"/>
      <c r="E152" s="14">
        <f t="shared" si="18"/>
        <v>510591.46444147266</v>
      </c>
      <c r="F152" s="14">
        <f t="shared" si="19"/>
        <v>512203380.17480534</v>
      </c>
      <c r="G152" s="1"/>
      <c r="H152" s="4">
        <v>512203380.17000002</v>
      </c>
      <c r="I152" s="7">
        <f t="shared" si="13"/>
        <v>5.0092322218113364E-3</v>
      </c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>
      <c r="A153" s="1" t="s">
        <v>196</v>
      </c>
      <c r="B153" s="14">
        <f t="shared" si="17"/>
        <v>1276478.6611036817</v>
      </c>
      <c r="C153" s="14">
        <f t="shared" si="16"/>
        <v>765887.196662209</v>
      </c>
      <c r="D153" s="14"/>
      <c r="E153" s="14">
        <f t="shared" si="18"/>
        <v>510591.46444147266</v>
      </c>
      <c r="F153" s="14">
        <f t="shared" si="19"/>
        <v>514756337.49701273</v>
      </c>
      <c r="G153" s="1"/>
      <c r="H153" s="4">
        <v>514756337.5</v>
      </c>
      <c r="I153" s="7">
        <f t="shared" si="13"/>
        <v>4.9842649010880371E-3</v>
      </c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>
      <c r="A154" s="1" t="s">
        <v>197</v>
      </c>
      <c r="B154" s="14">
        <f t="shared" si="17"/>
        <v>1276478.6611036817</v>
      </c>
      <c r="C154" s="14">
        <f t="shared" si="16"/>
        <v>765887.196662209</v>
      </c>
      <c r="D154" s="14"/>
      <c r="E154" s="14">
        <f t="shared" si="18"/>
        <v>510591.46444147266</v>
      </c>
      <c r="F154" s="14">
        <f t="shared" si="19"/>
        <v>517309294.81922013</v>
      </c>
      <c r="G154" s="1"/>
      <c r="H154" s="4">
        <v>517309294.81999999</v>
      </c>
      <c r="I154" s="7">
        <f t="shared" si="13"/>
        <v>4.9595451945261245E-3</v>
      </c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>
      <c r="A155" s="1" t="s">
        <v>198</v>
      </c>
      <c r="B155" s="14">
        <f t="shared" si="17"/>
        <v>1276478.6611036817</v>
      </c>
      <c r="C155" s="14">
        <f t="shared" si="16"/>
        <v>765887.196662209</v>
      </c>
      <c r="D155" s="14"/>
      <c r="E155" s="14">
        <f t="shared" si="18"/>
        <v>510591.46444147266</v>
      </c>
      <c r="F155" s="14">
        <f t="shared" si="19"/>
        <v>519862252.14142752</v>
      </c>
      <c r="G155" s="1"/>
      <c r="H155" s="4">
        <v>519862252.13999999</v>
      </c>
      <c r="I155" s="7">
        <f t="shared" si="13"/>
        <v>4.935069494330863E-3</v>
      </c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>
      <c r="A156" s="1" t="s">
        <v>199</v>
      </c>
      <c r="B156" s="14">
        <f t="shared" si="17"/>
        <v>1276478.6611036817</v>
      </c>
      <c r="C156" s="14">
        <f t="shared" si="16"/>
        <v>765887.196662209</v>
      </c>
      <c r="D156" s="14"/>
      <c r="E156" s="14">
        <f t="shared" si="18"/>
        <v>510591.46444147266</v>
      </c>
      <c r="F156" s="14">
        <f t="shared" si="19"/>
        <v>522415209.46363491</v>
      </c>
      <c r="G156" s="1"/>
      <c r="H156" s="4">
        <v>522415209.45999998</v>
      </c>
      <c r="I156" s="7">
        <f t="shared" si="13"/>
        <v>4.9108341863461098E-3</v>
      </c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>
      <c r="A157" s="1" t="s">
        <v>200</v>
      </c>
      <c r="B157" s="14">
        <f t="shared" si="17"/>
        <v>1276478.6611036817</v>
      </c>
      <c r="C157" s="14">
        <f t="shared" si="16"/>
        <v>765887.196662209</v>
      </c>
      <c r="D157" s="14"/>
      <c r="E157" s="14">
        <f t="shared" si="18"/>
        <v>510591.46444147266</v>
      </c>
      <c r="F157" s="14">
        <f t="shared" si="19"/>
        <v>524968166.7858423</v>
      </c>
      <c r="G157" s="1"/>
      <c r="H157" s="4">
        <v>524968166.79000002</v>
      </c>
      <c r="I157" s="7">
        <f t="shared" si="13"/>
        <v>4.8868357654420786E-3</v>
      </c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>
      <c r="A158" s="1" t="s">
        <v>201</v>
      </c>
      <c r="B158" s="14">
        <f t="shared" si="17"/>
        <v>1276478.6611036817</v>
      </c>
      <c r="C158" s="14">
        <f t="shared" si="16"/>
        <v>765887.196662209</v>
      </c>
      <c r="D158" s="14"/>
      <c r="E158" s="14">
        <f t="shared" si="18"/>
        <v>510591.46444147266</v>
      </c>
      <c r="F158" s="14">
        <f t="shared" si="19"/>
        <v>527521124.10804969</v>
      </c>
      <c r="G158" s="1"/>
      <c r="H158" s="4">
        <v>527521124.11000001</v>
      </c>
      <c r="I158" s="7">
        <f t="shared" si="13"/>
        <v>4.8630707183836492E-3</v>
      </c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>
      <c r="A159" s="1" t="s">
        <v>202</v>
      </c>
      <c r="B159" s="14">
        <f t="shared" si="17"/>
        <v>1276478.6611036817</v>
      </c>
      <c r="C159" s="14">
        <f t="shared" si="16"/>
        <v>765887.196662209</v>
      </c>
      <c r="D159" s="14"/>
      <c r="E159" s="14">
        <f t="shared" si="18"/>
        <v>510591.46444147266</v>
      </c>
      <c r="F159" s="14">
        <f t="shared" si="19"/>
        <v>530074081.43025708</v>
      </c>
      <c r="G159" s="1"/>
      <c r="H159" s="4">
        <v>530074081.43000001</v>
      </c>
      <c r="I159" s="7">
        <f t="shared" si="13"/>
        <v>4.8395357139625061E-3</v>
      </c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>
      <c r="A160" s="1" t="s">
        <v>203</v>
      </c>
      <c r="B160" s="14">
        <f t="shared" si="17"/>
        <v>1276478.6611036817</v>
      </c>
      <c r="C160" s="14">
        <f t="shared" si="16"/>
        <v>765887.196662209</v>
      </c>
      <c r="D160" s="14"/>
      <c r="E160" s="14">
        <f t="shared" si="18"/>
        <v>510591.46444147266</v>
      </c>
      <c r="F160" s="14">
        <f t="shared" si="19"/>
        <v>532627038.75246447</v>
      </c>
      <c r="G160" s="1"/>
      <c r="H160" s="4">
        <v>532627038.75</v>
      </c>
      <c r="I160" s="7">
        <f t="shared" si="13"/>
        <v>4.8162274094081109E-3</v>
      </c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>
      <c r="A161" s="1" t="s">
        <v>204</v>
      </c>
      <c r="B161" s="14">
        <f t="shared" si="17"/>
        <v>1276478.6611036817</v>
      </c>
      <c r="C161" s="14">
        <f t="shared" si="16"/>
        <v>765887.196662209</v>
      </c>
      <c r="D161" s="14"/>
      <c r="E161" s="14">
        <f t="shared" si="18"/>
        <v>510591.46444147266</v>
      </c>
      <c r="F161" s="14">
        <f t="shared" si="19"/>
        <v>535179996.07467186</v>
      </c>
      <c r="G161" s="1"/>
      <c r="H161" s="4">
        <v>535179996.06999999</v>
      </c>
      <c r="I161" s="7">
        <f t="shared" ref="I161:I224" si="20">(H161-H160)/H160</f>
        <v>4.7931425449061335E-3</v>
      </c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>
      <c r="A162" s="1" t="s">
        <v>205</v>
      </c>
      <c r="B162" s="14">
        <f>B161*(1-$J$1)</f>
        <v>1225419.5146595344</v>
      </c>
      <c r="C162" s="14">
        <f t="shared" si="16"/>
        <v>735251.70879572059</v>
      </c>
      <c r="D162" s="14"/>
      <c r="E162" s="14">
        <f t="shared" si="18"/>
        <v>490167.80586381373</v>
      </c>
      <c r="F162" s="14">
        <f t="shared" si="19"/>
        <v>537630835.10399091</v>
      </c>
      <c r="G162" s="1"/>
      <c r="H162" s="4">
        <v>537630835.10000002</v>
      </c>
      <c r="I162" s="7">
        <f t="shared" si="20"/>
        <v>4.5794668111613576E-3</v>
      </c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>
      <c r="A163" s="1" t="s">
        <v>206</v>
      </c>
      <c r="B163" s="14">
        <f t="shared" si="17"/>
        <v>1225419.5146595344</v>
      </c>
      <c r="C163" s="14">
        <f t="shared" si="16"/>
        <v>735251.70879572059</v>
      </c>
      <c r="D163" s="14"/>
      <c r="E163" s="14">
        <f t="shared" si="18"/>
        <v>490167.80586381373</v>
      </c>
      <c r="F163" s="14">
        <f t="shared" si="19"/>
        <v>540081674.13330996</v>
      </c>
      <c r="G163" s="1"/>
      <c r="H163" s="4">
        <v>540081674.13</v>
      </c>
      <c r="I163" s="7">
        <f t="shared" si="20"/>
        <v>4.5585908954498718E-3</v>
      </c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>
      <c r="A164" s="1" t="s">
        <v>207</v>
      </c>
      <c r="B164" s="14">
        <f t="shared" si="17"/>
        <v>1225419.5146595344</v>
      </c>
      <c r="C164" s="14">
        <f t="shared" si="16"/>
        <v>735251.70879572059</v>
      </c>
      <c r="D164" s="14"/>
      <c r="E164" s="14">
        <f t="shared" si="18"/>
        <v>490167.80586381373</v>
      </c>
      <c r="F164" s="14">
        <f t="shared" si="19"/>
        <v>542532513.16262901</v>
      </c>
      <c r="G164" s="1"/>
      <c r="H164" s="4">
        <v>542532513.15999997</v>
      </c>
      <c r="I164" s="7">
        <f t="shared" si="20"/>
        <v>4.5379044455599203E-3</v>
      </c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>
      <c r="A165" s="1" t="s">
        <v>208</v>
      </c>
      <c r="B165" s="14">
        <f t="shared" si="17"/>
        <v>1225419.5146595344</v>
      </c>
      <c r="C165" s="14">
        <f t="shared" si="16"/>
        <v>735251.70879572059</v>
      </c>
      <c r="D165" s="14"/>
      <c r="E165" s="14">
        <f t="shared" si="18"/>
        <v>490167.80586381373</v>
      </c>
      <c r="F165" s="14">
        <f t="shared" si="19"/>
        <v>544983352.19194806</v>
      </c>
      <c r="G165" s="1"/>
      <c r="H165" s="4">
        <v>544983352.19000006</v>
      </c>
      <c r="I165" s="7">
        <f t="shared" si="20"/>
        <v>4.5174048938101266E-3</v>
      </c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>
      <c r="A166" s="1" t="s">
        <v>209</v>
      </c>
      <c r="B166" s="14">
        <f t="shared" si="17"/>
        <v>1225419.5146595344</v>
      </c>
      <c r="C166" s="14">
        <f>B166*$H$4</f>
        <v>735251.70879572059</v>
      </c>
      <c r="D166" s="14"/>
      <c r="E166" s="14">
        <f t="shared" si="18"/>
        <v>490167.80586381373</v>
      </c>
      <c r="F166" s="14">
        <f t="shared" si="19"/>
        <v>547434191.2212671</v>
      </c>
      <c r="G166" s="1"/>
      <c r="H166" s="4">
        <v>547434191.22000003</v>
      </c>
      <c r="I166" s="7">
        <f t="shared" si="20"/>
        <v>4.4970897187067175E-3</v>
      </c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>
      <c r="A167" s="1" t="s">
        <v>210</v>
      </c>
      <c r="B167" s="14">
        <f t="shared" si="17"/>
        <v>1225419.5146595344</v>
      </c>
      <c r="C167" s="14">
        <f t="shared" si="16"/>
        <v>735251.70879572059</v>
      </c>
      <c r="D167" s="14"/>
      <c r="E167" s="14">
        <f t="shared" si="18"/>
        <v>490167.80586381373</v>
      </c>
      <c r="F167" s="14">
        <f t="shared" si="19"/>
        <v>549885030.25058615</v>
      </c>
      <c r="G167" s="1"/>
      <c r="H167" s="4">
        <v>549885030.25</v>
      </c>
      <c r="I167" s="7">
        <f t="shared" si="20"/>
        <v>4.476956443911705E-3</v>
      </c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>
      <c r="A168" s="1" t="s">
        <v>211</v>
      </c>
      <c r="B168" s="14">
        <f t="shared" si="17"/>
        <v>1225419.5146595344</v>
      </c>
      <c r="C168" s="14">
        <f>B168*$H$5</f>
        <v>490167.80586381379</v>
      </c>
      <c r="D168" s="14"/>
      <c r="E168" s="14">
        <f t="shared" si="18"/>
        <v>428896.83013083704</v>
      </c>
      <c r="F168" s="14">
        <f t="shared" si="19"/>
        <v>552029514.40124035</v>
      </c>
      <c r="G168" s="1"/>
      <c r="H168" s="4">
        <v>552029514.39999998</v>
      </c>
      <c r="I168" s="7">
        <f t="shared" si="20"/>
        <v>3.8998773053069056E-3</v>
      </c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>
      <c r="A169" s="1" t="s">
        <v>212</v>
      </c>
      <c r="B169" s="14">
        <f t="shared" si="17"/>
        <v>1225419.5146595344</v>
      </c>
      <c r="C169" s="14">
        <f t="shared" ref="C169:C215" si="21">B169*$H$5</f>
        <v>490167.80586381379</v>
      </c>
      <c r="D169" s="14"/>
      <c r="E169" s="14">
        <f t="shared" si="18"/>
        <v>428896.83013083704</v>
      </c>
      <c r="F169" s="14">
        <f t="shared" si="19"/>
        <v>554173998.55189455</v>
      </c>
      <c r="G169" s="1"/>
      <c r="H169" s="4">
        <v>554173998.54999995</v>
      </c>
      <c r="I169" s="7">
        <f t="shared" si="20"/>
        <v>3.8847273452956815E-3</v>
      </c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>
      <c r="A170" s="1" t="s">
        <v>213</v>
      </c>
      <c r="B170" s="14">
        <f t="shared" si="17"/>
        <v>1225419.5146595344</v>
      </c>
      <c r="C170" s="14">
        <f t="shared" si="21"/>
        <v>490167.80586381379</v>
      </c>
      <c r="D170" s="14"/>
      <c r="E170" s="14">
        <f t="shared" si="18"/>
        <v>428896.83013083704</v>
      </c>
      <c r="F170" s="14">
        <f t="shared" si="19"/>
        <v>556318482.70254874</v>
      </c>
      <c r="G170" s="1"/>
      <c r="H170" s="4">
        <v>556318482.70000005</v>
      </c>
      <c r="I170" s="7">
        <f t="shared" si="20"/>
        <v>3.8696946367226771E-3</v>
      </c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>
      <c r="A171" s="1" t="s">
        <v>214</v>
      </c>
      <c r="B171" s="14">
        <f t="shared" si="17"/>
        <v>1225419.5146595344</v>
      </c>
      <c r="C171" s="14">
        <f t="shared" si="21"/>
        <v>490167.80586381379</v>
      </c>
      <c r="D171" s="14"/>
      <c r="E171" s="14">
        <f t="shared" si="18"/>
        <v>428896.83013083704</v>
      </c>
      <c r="F171" s="14">
        <f t="shared" si="19"/>
        <v>558462966.85320294</v>
      </c>
      <c r="G171" s="1"/>
      <c r="H171" s="4">
        <v>558462966.85000002</v>
      </c>
      <c r="I171" s="7">
        <f t="shared" si="20"/>
        <v>3.8547778236525162E-3</v>
      </c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>
      <c r="A172" s="1" t="s">
        <v>215</v>
      </c>
      <c r="B172" s="14">
        <f t="shared" si="17"/>
        <v>1225419.5146595344</v>
      </c>
      <c r="C172" s="14">
        <f t="shared" si="21"/>
        <v>490167.80586381379</v>
      </c>
      <c r="D172" s="14"/>
      <c r="E172" s="14">
        <f t="shared" si="18"/>
        <v>428896.83013083704</v>
      </c>
      <c r="F172" s="14">
        <f t="shared" si="19"/>
        <v>560607451.00385714</v>
      </c>
      <c r="G172" s="1"/>
      <c r="H172" s="4">
        <v>560607451</v>
      </c>
      <c r="I172" s="7">
        <f t="shared" si="20"/>
        <v>3.8399755709781422E-3</v>
      </c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>
      <c r="A173" s="1" t="s">
        <v>216</v>
      </c>
      <c r="B173" s="14">
        <f t="shared" si="17"/>
        <v>1225419.5146595344</v>
      </c>
      <c r="C173" s="14">
        <f t="shared" si="21"/>
        <v>490167.80586381379</v>
      </c>
      <c r="D173" s="14"/>
      <c r="E173" s="14">
        <f t="shared" si="18"/>
        <v>428896.83013083704</v>
      </c>
      <c r="F173" s="14">
        <f t="shared" si="19"/>
        <v>562751935.15451133</v>
      </c>
      <c r="G173" s="1"/>
      <c r="H173" s="4">
        <v>562751935.14999998</v>
      </c>
      <c r="I173" s="7">
        <f t="shared" si="20"/>
        <v>3.8252865640203133E-3</v>
      </c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>
      <c r="A174" s="1" t="s">
        <v>217</v>
      </c>
      <c r="B174" s="14">
        <f>B173*(1-$J$1)</f>
        <v>1176402.734073153</v>
      </c>
      <c r="C174" s="14">
        <f t="shared" si="21"/>
        <v>470561.09362926125</v>
      </c>
      <c r="D174" s="14"/>
      <c r="E174" s="14">
        <f t="shared" si="18"/>
        <v>411740.95692560356</v>
      </c>
      <c r="F174" s="14">
        <f t="shared" si="19"/>
        <v>564810639.93913937</v>
      </c>
      <c r="G174" s="1"/>
      <c r="H174" s="4">
        <v>564810639.94000006</v>
      </c>
      <c r="I174" s="7">
        <f t="shared" si="20"/>
        <v>3.6582811384759414E-3</v>
      </c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>
      <c r="A175" s="1" t="s">
        <v>218</v>
      </c>
      <c r="B175" s="14">
        <f t="shared" si="17"/>
        <v>1176402.734073153</v>
      </c>
      <c r="C175" s="14">
        <f t="shared" si="21"/>
        <v>470561.09362926125</v>
      </c>
      <c r="D175" s="14"/>
      <c r="E175" s="14">
        <f t="shared" si="18"/>
        <v>411740.95692560356</v>
      </c>
      <c r="F175" s="14">
        <f t="shared" si="19"/>
        <v>566869344.7237674</v>
      </c>
      <c r="G175" s="1"/>
      <c r="H175" s="4">
        <v>566869344.72000003</v>
      </c>
      <c r="I175" s="7">
        <f t="shared" si="20"/>
        <v>3.6449468802830414E-3</v>
      </c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>
      <c r="A176" s="1" t="s">
        <v>219</v>
      </c>
      <c r="B176" s="14">
        <f t="shared" si="17"/>
        <v>1176402.734073153</v>
      </c>
      <c r="C176" s="14">
        <f t="shared" si="21"/>
        <v>470561.09362926125</v>
      </c>
      <c r="D176" s="14"/>
      <c r="E176" s="14">
        <f t="shared" si="18"/>
        <v>411740.95692560356</v>
      </c>
      <c r="F176" s="14">
        <f t="shared" si="19"/>
        <v>568928049.50839543</v>
      </c>
      <c r="G176" s="1"/>
      <c r="H176" s="4">
        <v>568928049.50999999</v>
      </c>
      <c r="I176" s="7">
        <f t="shared" si="20"/>
        <v>3.6317095097404507E-3</v>
      </c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>
      <c r="A177" s="1" t="s">
        <v>220</v>
      </c>
      <c r="B177" s="14">
        <f t="shared" si="17"/>
        <v>1176402.734073153</v>
      </c>
      <c r="C177" s="14">
        <f t="shared" si="21"/>
        <v>470561.09362926125</v>
      </c>
      <c r="D177" s="14"/>
      <c r="E177" s="14">
        <f t="shared" si="18"/>
        <v>411740.95692560356</v>
      </c>
      <c r="F177" s="14">
        <f t="shared" si="19"/>
        <v>570986754.29302347</v>
      </c>
      <c r="G177" s="1"/>
      <c r="H177" s="4">
        <v>570986754.28999996</v>
      </c>
      <c r="I177" s="7">
        <f t="shared" si="20"/>
        <v>3.6185679046288363E-3</v>
      </c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>
      <c r="A178" s="1" t="s">
        <v>221</v>
      </c>
      <c r="B178" s="14">
        <f t="shared" si="17"/>
        <v>1176402.734073153</v>
      </c>
      <c r="C178" s="14">
        <f t="shared" si="21"/>
        <v>470561.09362926125</v>
      </c>
      <c r="D178" s="14"/>
      <c r="E178" s="14">
        <f t="shared" si="18"/>
        <v>411740.95692560356</v>
      </c>
      <c r="F178" s="14">
        <f t="shared" si="19"/>
        <v>573045459.0776515</v>
      </c>
      <c r="G178" s="1"/>
      <c r="H178" s="4">
        <v>573045459.08000004</v>
      </c>
      <c r="I178" s="7">
        <f t="shared" si="20"/>
        <v>3.6055210992766394E-3</v>
      </c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>
      <c r="A179" s="1" t="s">
        <v>222</v>
      </c>
      <c r="B179" s="14">
        <f t="shared" si="17"/>
        <v>1176402.734073153</v>
      </c>
      <c r="C179" s="14">
        <f t="shared" si="21"/>
        <v>470561.09362926125</v>
      </c>
      <c r="D179" s="14"/>
      <c r="E179" s="14">
        <f t="shared" si="18"/>
        <v>411740.95692560356</v>
      </c>
      <c r="F179" s="14">
        <f t="shared" si="19"/>
        <v>575104163.86227953</v>
      </c>
      <c r="G179" s="1"/>
      <c r="H179" s="4">
        <v>575104163.86000001</v>
      </c>
      <c r="I179" s="7">
        <f t="shared" si="20"/>
        <v>3.5925680020309973E-3</v>
      </c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>
      <c r="A180" s="1" t="s">
        <v>223</v>
      </c>
      <c r="B180" s="14">
        <f t="shared" si="17"/>
        <v>1176402.734073153</v>
      </c>
      <c r="C180" s="14">
        <f t="shared" si="21"/>
        <v>470561.09362926125</v>
      </c>
      <c r="D180" s="14"/>
      <c r="E180" s="14">
        <f t="shared" si="18"/>
        <v>411740.95692560356</v>
      </c>
      <c r="F180" s="14">
        <f t="shared" si="19"/>
        <v>577162868.64690757</v>
      </c>
      <c r="G180" s="1"/>
      <c r="H180" s="4">
        <v>577162868.64999998</v>
      </c>
      <c r="I180" s="7">
        <f t="shared" si="20"/>
        <v>3.5797076762273641E-3</v>
      </c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>
      <c r="A181" s="1" t="s">
        <v>224</v>
      </c>
      <c r="B181" s="14">
        <f t="shared" si="17"/>
        <v>1176402.734073153</v>
      </c>
      <c r="C181" s="14">
        <f t="shared" si="21"/>
        <v>470561.09362926125</v>
      </c>
      <c r="D181" s="14"/>
      <c r="E181" s="14">
        <f t="shared" si="18"/>
        <v>411740.95692560356</v>
      </c>
      <c r="F181" s="14">
        <f t="shared" si="19"/>
        <v>579221573.4315356</v>
      </c>
      <c r="G181" s="1"/>
      <c r="H181" s="4">
        <v>579221573.42999995</v>
      </c>
      <c r="I181" s="7">
        <f t="shared" si="20"/>
        <v>3.5669390597065594E-3</v>
      </c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>
      <c r="A182" s="1" t="s">
        <v>225</v>
      </c>
      <c r="B182" s="14">
        <f t="shared" si="17"/>
        <v>1176402.734073153</v>
      </c>
      <c r="C182" s="14">
        <f t="shared" si="21"/>
        <v>470561.09362926125</v>
      </c>
      <c r="D182" s="14"/>
      <c r="E182" s="14">
        <f t="shared" si="18"/>
        <v>411740.95692560356</v>
      </c>
      <c r="F182" s="14">
        <f t="shared" si="19"/>
        <v>581280278.21616364</v>
      </c>
      <c r="G182" s="1"/>
      <c r="H182" s="4">
        <v>581280278.22000003</v>
      </c>
      <c r="I182" s="7">
        <f t="shared" si="20"/>
        <v>3.5542612437740625E-3</v>
      </c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>
      <c r="A183" s="1" t="s">
        <v>226</v>
      </c>
      <c r="B183" s="14">
        <f t="shared" si="17"/>
        <v>1176402.734073153</v>
      </c>
      <c r="C183" s="14">
        <f t="shared" si="21"/>
        <v>470561.09362926125</v>
      </c>
      <c r="D183" s="14"/>
      <c r="E183" s="14">
        <f t="shared" si="18"/>
        <v>411740.95692560356</v>
      </c>
      <c r="F183" s="14">
        <f t="shared" si="19"/>
        <v>583338983.00079167</v>
      </c>
      <c r="G183" s="1"/>
      <c r="H183" s="4">
        <v>583338983</v>
      </c>
      <c r="I183" s="7">
        <f t="shared" si="20"/>
        <v>3.541673194735162E-3</v>
      </c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>
      <c r="A184" s="1" t="s">
        <v>227</v>
      </c>
      <c r="B184" s="14">
        <f t="shared" si="17"/>
        <v>1176402.734073153</v>
      </c>
      <c r="C184" s="14">
        <f t="shared" si="21"/>
        <v>470561.09362926125</v>
      </c>
      <c r="D184" s="14"/>
      <c r="E184" s="14">
        <f t="shared" si="18"/>
        <v>411740.95692560356</v>
      </c>
      <c r="F184" s="14">
        <f t="shared" si="19"/>
        <v>585397687.7854197</v>
      </c>
      <c r="G184" s="1"/>
      <c r="H184" s="4">
        <v>585397687.78999996</v>
      </c>
      <c r="I184" s="7">
        <f t="shared" si="20"/>
        <v>3.5291740308738494E-3</v>
      </c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>
      <c r="A185" s="1" t="s">
        <v>228</v>
      </c>
      <c r="B185" s="14">
        <f t="shared" si="17"/>
        <v>1176402.734073153</v>
      </c>
      <c r="C185" s="14">
        <f t="shared" si="21"/>
        <v>470561.09362926125</v>
      </c>
      <c r="D185" s="14"/>
      <c r="E185" s="14">
        <f t="shared" si="18"/>
        <v>411740.95692560356</v>
      </c>
      <c r="F185" s="14">
        <f t="shared" si="19"/>
        <v>587456392.57004774</v>
      </c>
      <c r="G185" s="1"/>
      <c r="H185" s="4">
        <v>587456392.57000005</v>
      </c>
      <c r="I185" s="7">
        <f t="shared" si="20"/>
        <v>3.5167627459755375E-3</v>
      </c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>
      <c r="A186" s="1" t="s">
        <v>229</v>
      </c>
      <c r="B186" s="14">
        <f>B185*(1-$J$1)</f>
        <v>1129346.6247102269</v>
      </c>
      <c r="C186" s="14">
        <f t="shared" si="21"/>
        <v>451738.64988409076</v>
      </c>
      <c r="D186" s="14"/>
      <c r="E186" s="14">
        <f t="shared" si="18"/>
        <v>395271.31864857941</v>
      </c>
      <c r="F186" s="14">
        <f t="shared" si="19"/>
        <v>589432749.16329062</v>
      </c>
      <c r="G186" s="1"/>
      <c r="H186" s="4">
        <v>589432749.15999997</v>
      </c>
      <c r="I186" s="7">
        <f t="shared" si="20"/>
        <v>3.364260930677362E-3</v>
      </c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>
      <c r="A187" s="1" t="s">
        <v>230</v>
      </c>
      <c r="B187" s="14">
        <f t="shared" si="17"/>
        <v>1129346.6247102269</v>
      </c>
      <c r="C187" s="14">
        <f t="shared" si="21"/>
        <v>451738.64988409076</v>
      </c>
      <c r="D187" s="14"/>
      <c r="E187" s="14">
        <f t="shared" si="18"/>
        <v>395271.31864857941</v>
      </c>
      <c r="F187" s="14">
        <f t="shared" si="19"/>
        <v>591409105.7565335</v>
      </c>
      <c r="G187" s="1"/>
      <c r="H187" s="4">
        <v>591409105.75999999</v>
      </c>
      <c r="I187" s="7">
        <f t="shared" si="20"/>
        <v>3.3529806459117305E-3</v>
      </c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>
      <c r="A188" s="1" t="s">
        <v>231</v>
      </c>
      <c r="B188" s="14">
        <f t="shared" si="17"/>
        <v>1129346.6247102269</v>
      </c>
      <c r="C188" s="14">
        <f t="shared" si="21"/>
        <v>451738.64988409076</v>
      </c>
      <c r="D188" s="14"/>
      <c r="E188" s="14">
        <f t="shared" si="18"/>
        <v>395271.31864857941</v>
      </c>
      <c r="F188" s="14">
        <f t="shared" si="19"/>
        <v>593385462.34977639</v>
      </c>
      <c r="G188" s="1"/>
      <c r="H188" s="4">
        <v>593385462.35000002</v>
      </c>
      <c r="I188" s="7">
        <f t="shared" si="20"/>
        <v>3.3417757196353677E-3</v>
      </c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>
      <c r="A189" s="1" t="s">
        <v>232</v>
      </c>
      <c r="B189" s="14">
        <f t="shared" si="17"/>
        <v>1129346.6247102269</v>
      </c>
      <c r="C189" s="14">
        <f t="shared" si="21"/>
        <v>451738.64988409076</v>
      </c>
      <c r="D189" s="14"/>
      <c r="E189" s="14">
        <f t="shared" si="18"/>
        <v>395271.31864857941</v>
      </c>
      <c r="F189" s="14">
        <f t="shared" si="19"/>
        <v>595361818.94301927</v>
      </c>
      <c r="G189" s="1"/>
      <c r="H189" s="4">
        <v>595361818.94000006</v>
      </c>
      <c r="I189" s="7">
        <f t="shared" si="20"/>
        <v>3.3306454495413765E-3</v>
      </c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>
      <c r="A190" s="1" t="s">
        <v>233</v>
      </c>
      <c r="B190" s="14">
        <f t="shared" si="17"/>
        <v>1129346.6247102269</v>
      </c>
      <c r="C190" s="14">
        <f t="shared" si="21"/>
        <v>451738.64988409076</v>
      </c>
      <c r="D190" s="14"/>
      <c r="E190" s="14">
        <f t="shared" si="18"/>
        <v>395271.31864857941</v>
      </c>
      <c r="F190" s="14">
        <f t="shared" si="19"/>
        <v>597338175.53626215</v>
      </c>
      <c r="G190" s="1"/>
      <c r="H190" s="4">
        <v>597338175.53999996</v>
      </c>
      <c r="I190" s="7">
        <f t="shared" si="20"/>
        <v>3.3195890920896956E-3</v>
      </c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>
      <c r="A191" s="1" t="s">
        <v>234</v>
      </c>
      <c r="B191" s="14">
        <f t="shared" si="17"/>
        <v>1129346.6247102269</v>
      </c>
      <c r="C191" s="14">
        <f t="shared" si="21"/>
        <v>451738.64988409076</v>
      </c>
      <c r="D191" s="14"/>
      <c r="E191" s="14">
        <f t="shared" si="18"/>
        <v>395271.31864857941</v>
      </c>
      <c r="F191" s="14">
        <f t="shared" si="19"/>
        <v>599314532.12950504</v>
      </c>
      <c r="G191" s="1"/>
      <c r="H191" s="4">
        <v>599314532.13</v>
      </c>
      <c r="I191" s="7">
        <f t="shared" si="20"/>
        <v>3.3086058633593715E-3</v>
      </c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>
      <c r="A192" s="1" t="s">
        <v>235</v>
      </c>
      <c r="B192" s="14">
        <f t="shared" ref="B192:B255" si="22">B191</f>
        <v>1129346.6247102269</v>
      </c>
      <c r="C192" s="14">
        <f t="shared" si="21"/>
        <v>451738.64988409076</v>
      </c>
      <c r="D192" s="14"/>
      <c r="E192" s="14">
        <f t="shared" si="18"/>
        <v>395271.31864857941</v>
      </c>
      <c r="F192" s="14">
        <f t="shared" si="19"/>
        <v>601290888.72274792</v>
      </c>
      <c r="G192" s="1"/>
      <c r="H192" s="4">
        <v>601290888.72000003</v>
      </c>
      <c r="I192" s="7">
        <f t="shared" si="20"/>
        <v>3.2976950900488644E-3</v>
      </c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>
      <c r="A193" s="1" t="s">
        <v>236</v>
      </c>
      <c r="B193" s="14">
        <f t="shared" si="22"/>
        <v>1129346.6247102269</v>
      </c>
      <c r="C193" s="14">
        <f t="shared" si="21"/>
        <v>451738.64988409076</v>
      </c>
      <c r="D193" s="14"/>
      <c r="E193" s="14">
        <f t="shared" si="18"/>
        <v>395271.31864857941</v>
      </c>
      <c r="F193" s="14">
        <f t="shared" si="19"/>
        <v>603267245.31599081</v>
      </c>
      <c r="G193" s="1"/>
      <c r="H193" s="4">
        <v>603267245.32000005</v>
      </c>
      <c r="I193" s="7">
        <f t="shared" si="20"/>
        <v>3.2868560576515627E-3</v>
      </c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>
      <c r="A194" s="1" t="s">
        <v>237</v>
      </c>
      <c r="B194" s="14">
        <f t="shared" si="22"/>
        <v>1129346.6247102269</v>
      </c>
      <c r="C194" s="14">
        <f t="shared" si="21"/>
        <v>451738.64988409076</v>
      </c>
      <c r="D194" s="14"/>
      <c r="E194" s="14">
        <f t="shared" si="18"/>
        <v>395271.31864857941</v>
      </c>
      <c r="F194" s="14">
        <f t="shared" si="19"/>
        <v>605243601.90923369</v>
      </c>
      <c r="G194" s="1"/>
      <c r="H194" s="4">
        <v>605243601.90999997</v>
      </c>
      <c r="I194" s="7">
        <f t="shared" si="20"/>
        <v>3.2760880112951696E-3</v>
      </c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>
      <c r="A195" s="1" t="s">
        <v>238</v>
      </c>
      <c r="B195" s="14">
        <f t="shared" si="22"/>
        <v>1129346.6247102269</v>
      </c>
      <c r="C195" s="14">
        <f t="shared" si="21"/>
        <v>451738.64988409076</v>
      </c>
      <c r="D195" s="14"/>
      <c r="E195" s="14">
        <f t="shared" si="18"/>
        <v>395271.31864857941</v>
      </c>
      <c r="F195" s="14">
        <f t="shared" si="19"/>
        <v>607219958.50247657</v>
      </c>
      <c r="G195" s="1"/>
      <c r="H195" s="4">
        <v>607219958.5</v>
      </c>
      <c r="I195" s="7">
        <f t="shared" si="20"/>
        <v>3.2653903052640922E-3</v>
      </c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>
      <c r="A196" s="1" t="s">
        <v>239</v>
      </c>
      <c r="B196" s="14">
        <f t="shared" si="22"/>
        <v>1129346.6247102269</v>
      </c>
      <c r="C196" s="14">
        <f t="shared" si="21"/>
        <v>451738.64988409076</v>
      </c>
      <c r="D196" s="14"/>
      <c r="E196" s="14">
        <f t="shared" si="18"/>
        <v>395271.31864857941</v>
      </c>
      <c r="F196" s="14">
        <f t="shared" si="19"/>
        <v>609196315.09571946</v>
      </c>
      <c r="G196" s="1"/>
      <c r="H196" s="4">
        <v>609196315.10000002</v>
      </c>
      <c r="I196" s="7">
        <f t="shared" si="20"/>
        <v>3.2547622526805067E-3</v>
      </c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>
      <c r="A197" s="1" t="s">
        <v>240</v>
      </c>
      <c r="B197" s="14">
        <f t="shared" si="22"/>
        <v>1129346.6247102269</v>
      </c>
      <c r="C197" s="14">
        <f t="shared" si="21"/>
        <v>451738.64988409076</v>
      </c>
      <c r="D197" s="14"/>
      <c r="E197" s="14">
        <f t="shared" si="18"/>
        <v>395271.31864857941</v>
      </c>
      <c r="F197" s="14">
        <f t="shared" si="19"/>
        <v>611172671.68896234</v>
      </c>
      <c r="G197" s="1"/>
      <c r="H197" s="4">
        <v>611172671.69000006</v>
      </c>
      <c r="I197" s="7">
        <f t="shared" si="20"/>
        <v>3.2442031263363977E-3</v>
      </c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>
      <c r="A198" s="1" t="s">
        <v>241</v>
      </c>
      <c r="B198" s="14">
        <f>B197*(1-$J$1)</f>
        <v>1084172.7597218177</v>
      </c>
      <c r="C198" s="14">
        <f t="shared" si="21"/>
        <v>433669.10388872708</v>
      </c>
      <c r="D198" s="14"/>
      <c r="E198" s="14">
        <f t="shared" si="18"/>
        <v>379460.46590263618</v>
      </c>
      <c r="F198" s="14">
        <f t="shared" si="19"/>
        <v>613069974.01847553</v>
      </c>
      <c r="G198" s="1"/>
      <c r="H198" s="4">
        <v>613069974.01999998</v>
      </c>
      <c r="I198" s="7">
        <f t="shared" si="20"/>
        <v>3.1043638203808242E-3</v>
      </c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>
      <c r="A199" s="1" t="s">
        <v>242</v>
      </c>
      <c r="B199" s="14">
        <f t="shared" si="22"/>
        <v>1084172.7597218177</v>
      </c>
      <c r="C199" s="14">
        <f t="shared" si="21"/>
        <v>433669.10388872708</v>
      </c>
      <c r="D199" s="14"/>
      <c r="E199" s="14">
        <f t="shared" si="18"/>
        <v>379460.46590263618</v>
      </c>
      <c r="F199" s="14">
        <f t="shared" si="19"/>
        <v>614967276.34798872</v>
      </c>
      <c r="G199" s="1"/>
      <c r="H199" s="4">
        <v>614967276.35000002</v>
      </c>
      <c r="I199" s="7">
        <f t="shared" si="20"/>
        <v>3.0947565700520639E-3</v>
      </c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>
      <c r="A200" s="1" t="s">
        <v>243</v>
      </c>
      <c r="B200" s="14">
        <f t="shared" si="22"/>
        <v>1084172.7597218177</v>
      </c>
      <c r="C200" s="14">
        <f t="shared" si="21"/>
        <v>433669.10388872708</v>
      </c>
      <c r="D200" s="14"/>
      <c r="E200" s="14">
        <f t="shared" si="18"/>
        <v>379460.46590263618</v>
      </c>
      <c r="F200" s="14">
        <f t="shared" si="19"/>
        <v>616864578.67750192</v>
      </c>
      <c r="G200" s="1"/>
      <c r="H200" s="4">
        <v>616864578.67999995</v>
      </c>
      <c r="I200" s="7">
        <f t="shared" si="20"/>
        <v>3.0852086004655973E-3</v>
      </c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>
      <c r="A201" s="1" t="s">
        <v>244</v>
      </c>
      <c r="B201" s="14">
        <f t="shared" si="22"/>
        <v>1084172.7597218177</v>
      </c>
      <c r="C201" s="14">
        <f t="shared" si="21"/>
        <v>433669.10388872708</v>
      </c>
      <c r="D201" s="14"/>
      <c r="E201" s="14">
        <f t="shared" si="18"/>
        <v>379460.46590263618</v>
      </c>
      <c r="F201" s="14">
        <f t="shared" si="19"/>
        <v>618761881.00701511</v>
      </c>
      <c r="G201" s="1"/>
      <c r="H201" s="4">
        <v>618761881.00999999</v>
      </c>
      <c r="I201" s="7">
        <f t="shared" si="20"/>
        <v>3.0757193646294176E-3</v>
      </c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>
      <c r="A202" s="1" t="s">
        <v>245</v>
      </c>
      <c r="B202" s="14">
        <f t="shared" si="22"/>
        <v>1084172.7597218177</v>
      </c>
      <c r="C202" s="14">
        <f t="shared" si="21"/>
        <v>433669.10388872708</v>
      </c>
      <c r="D202" s="14"/>
      <c r="E202" s="14">
        <f t="shared" si="18"/>
        <v>379460.46590263618</v>
      </c>
      <c r="F202" s="14">
        <f t="shared" si="19"/>
        <v>620659183.3365283</v>
      </c>
      <c r="G202" s="1"/>
      <c r="H202" s="4">
        <v>620659183.34000003</v>
      </c>
      <c r="I202" s="7">
        <f t="shared" si="20"/>
        <v>3.0662883222591082E-3</v>
      </c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>
      <c r="A203" s="1" t="s">
        <v>246</v>
      </c>
      <c r="B203" s="14">
        <f t="shared" si="22"/>
        <v>1084172.7597218177</v>
      </c>
      <c r="C203" s="14">
        <f t="shared" si="21"/>
        <v>433669.10388872708</v>
      </c>
      <c r="D203" s="14"/>
      <c r="E203" s="14">
        <f t="shared" si="18"/>
        <v>379460.46590263618</v>
      </c>
      <c r="F203" s="14">
        <f t="shared" si="19"/>
        <v>622556485.66604149</v>
      </c>
      <c r="G203" s="1"/>
      <c r="H203" s="4">
        <v>622556485.66999996</v>
      </c>
      <c r="I203" s="7">
        <f t="shared" si="20"/>
        <v>3.056914939677244E-3</v>
      </c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>
      <c r="A204" s="1" t="s">
        <v>247</v>
      </c>
      <c r="B204" s="14">
        <f t="shared" si="22"/>
        <v>1084172.7597218177</v>
      </c>
      <c r="C204" s="14">
        <f t="shared" si="21"/>
        <v>433669.10388872708</v>
      </c>
      <c r="D204" s="14"/>
      <c r="E204" s="14">
        <f t="shared" si="18"/>
        <v>379460.46590263618</v>
      </c>
      <c r="F204" s="14">
        <f t="shared" si="19"/>
        <v>624453787.99555469</v>
      </c>
      <c r="G204" s="1"/>
      <c r="H204" s="4">
        <v>624453788</v>
      </c>
      <c r="I204" s="7">
        <f t="shared" si="20"/>
        <v>3.0475986897127126E-3</v>
      </c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>
      <c r="A205" s="1" t="s">
        <v>248</v>
      </c>
      <c r="B205" s="14">
        <f t="shared" si="22"/>
        <v>1084172.7597218177</v>
      </c>
      <c r="C205" s="14">
        <f t="shared" si="21"/>
        <v>433669.10388872708</v>
      </c>
      <c r="D205" s="14"/>
      <c r="E205" s="14">
        <f t="shared" si="18"/>
        <v>379460.46590263618</v>
      </c>
      <c r="F205" s="14">
        <f t="shared" si="19"/>
        <v>626351090.32506788</v>
      </c>
      <c r="G205" s="1"/>
      <c r="H205" s="4">
        <v>626351090.33000004</v>
      </c>
      <c r="I205" s="7">
        <f t="shared" si="20"/>
        <v>3.0383390516001527E-3</v>
      </c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>
      <c r="A206" s="1" t="s">
        <v>249</v>
      </c>
      <c r="B206" s="14">
        <f t="shared" si="22"/>
        <v>1084172.7597218177</v>
      </c>
      <c r="C206" s="14">
        <f t="shared" si="21"/>
        <v>433669.10388872708</v>
      </c>
      <c r="D206" s="14"/>
      <c r="E206" s="14">
        <f t="shared" si="18"/>
        <v>379460.46590263618</v>
      </c>
      <c r="F206" s="14">
        <f t="shared" si="19"/>
        <v>628248392.65458107</v>
      </c>
      <c r="G206" s="1"/>
      <c r="H206" s="4">
        <v>628248392.64999998</v>
      </c>
      <c r="I206" s="7">
        <f t="shared" si="20"/>
        <v>3.0291354949191808E-3</v>
      </c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>
      <c r="A207" s="1" t="s">
        <v>250</v>
      </c>
      <c r="B207" s="14">
        <f t="shared" si="22"/>
        <v>1084172.7597218177</v>
      </c>
      <c r="C207" s="14">
        <f t="shared" si="21"/>
        <v>433669.10388872708</v>
      </c>
      <c r="D207" s="14"/>
      <c r="E207" s="14">
        <f t="shared" si="18"/>
        <v>379460.46590263618</v>
      </c>
      <c r="F207" s="14">
        <f t="shared" si="19"/>
        <v>630145694.98409426</v>
      </c>
      <c r="G207" s="1"/>
      <c r="H207" s="4">
        <v>630145694.98000002</v>
      </c>
      <c r="I207" s="7">
        <f t="shared" si="20"/>
        <v>3.0199875593745268E-3</v>
      </c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>
      <c r="A208" s="1" t="s">
        <v>251</v>
      </c>
      <c r="B208" s="14">
        <f t="shared" si="22"/>
        <v>1084172.7597218177</v>
      </c>
      <c r="C208" s="14">
        <f t="shared" si="21"/>
        <v>433669.10388872708</v>
      </c>
      <c r="D208" s="14"/>
      <c r="E208" s="14">
        <f t="shared" si="18"/>
        <v>379460.46590263618</v>
      </c>
      <c r="F208" s="14">
        <f t="shared" si="19"/>
        <v>632042997.31360745</v>
      </c>
      <c r="G208" s="1"/>
      <c r="H208" s="4">
        <v>632042997.30999994</v>
      </c>
      <c r="I208" s="7">
        <f t="shared" si="20"/>
        <v>3.0108946948532935E-3</v>
      </c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>
      <c r="A209" s="1" t="s">
        <v>252</v>
      </c>
      <c r="B209" s="14">
        <f t="shared" si="22"/>
        <v>1084172.7597218177</v>
      </c>
      <c r="C209" s="14">
        <f t="shared" si="21"/>
        <v>433669.10388872708</v>
      </c>
      <c r="D209" s="14"/>
      <c r="E209" s="14">
        <f t="shared" si="18"/>
        <v>379460.46590263618</v>
      </c>
      <c r="F209" s="14">
        <f t="shared" si="19"/>
        <v>633940299.64312065</v>
      </c>
      <c r="G209" s="1"/>
      <c r="H209" s="4">
        <v>633940299.63999999</v>
      </c>
      <c r="I209" s="7">
        <f t="shared" si="20"/>
        <v>3.0018564212799395E-3</v>
      </c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>
      <c r="A210" s="1" t="s">
        <v>253</v>
      </c>
      <c r="B210" s="14">
        <f>B209*(1-$J$1)</f>
        <v>1040805.849332945</v>
      </c>
      <c r="C210" s="14">
        <f t="shared" si="21"/>
        <v>416322.33973317803</v>
      </c>
      <c r="D210" s="14"/>
      <c r="E210" s="14">
        <f t="shared" si="18"/>
        <v>364282.04726653075</v>
      </c>
      <c r="F210" s="14">
        <f t="shared" si="19"/>
        <v>635761709.8794533</v>
      </c>
      <c r="G210" s="1"/>
      <c r="H210" s="4">
        <v>635761709.88</v>
      </c>
      <c r="I210" s="7">
        <f t="shared" si="20"/>
        <v>2.873157363610337E-3</v>
      </c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>
      <c r="A211" s="1" t="s">
        <v>254</v>
      </c>
      <c r="B211" s="14">
        <f t="shared" si="22"/>
        <v>1040805.849332945</v>
      </c>
      <c r="C211" s="14">
        <f t="shared" si="21"/>
        <v>416322.33973317803</v>
      </c>
      <c r="D211" s="14"/>
      <c r="E211" s="14">
        <f t="shared" ref="E211:E274" si="23">(B211+C211+D211)*25%</f>
        <v>364282.04726653075</v>
      </c>
      <c r="F211" s="14">
        <f t="shared" ref="F211:F274" si="24">F210+SUM(B211:E211)</f>
        <v>637583120.11578596</v>
      </c>
      <c r="G211" s="1"/>
      <c r="H211" s="4">
        <v>637583120.12</v>
      </c>
      <c r="I211" s="7">
        <f t="shared" si="20"/>
        <v>2.8649259804334561E-3</v>
      </c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>
      <c r="A212" s="1" t="s">
        <v>255</v>
      </c>
      <c r="B212" s="14">
        <f t="shared" si="22"/>
        <v>1040805.849332945</v>
      </c>
      <c r="C212" s="14">
        <f t="shared" si="21"/>
        <v>416322.33973317803</v>
      </c>
      <c r="D212" s="14"/>
      <c r="E212" s="14">
        <f t="shared" si="23"/>
        <v>364282.04726653075</v>
      </c>
      <c r="F212" s="14">
        <f t="shared" si="24"/>
        <v>639404530.35211861</v>
      </c>
      <c r="G212" s="1"/>
      <c r="H212" s="4">
        <v>639404530.35000002</v>
      </c>
      <c r="I212" s="7">
        <f t="shared" si="20"/>
        <v>2.8567416114423012E-3</v>
      </c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>
      <c r="A213" s="1" t="s">
        <v>256</v>
      </c>
      <c r="B213" s="14">
        <f t="shared" si="22"/>
        <v>1040805.849332945</v>
      </c>
      <c r="C213" s="14">
        <f t="shared" si="21"/>
        <v>416322.33973317803</v>
      </c>
      <c r="D213" s="14"/>
      <c r="E213" s="14">
        <f t="shared" si="23"/>
        <v>364282.04726653075</v>
      </c>
      <c r="F213" s="14">
        <f t="shared" si="24"/>
        <v>641225940.58845127</v>
      </c>
      <c r="G213" s="1"/>
      <c r="H213" s="4">
        <v>641225940.59000003</v>
      </c>
      <c r="I213" s="7">
        <f t="shared" si="20"/>
        <v>2.8486039018256535E-3</v>
      </c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>
      <c r="A214" s="1" t="s">
        <v>257</v>
      </c>
      <c r="B214" s="14">
        <f t="shared" si="22"/>
        <v>1040805.849332945</v>
      </c>
      <c r="C214" s="14">
        <f t="shared" si="21"/>
        <v>416322.33973317803</v>
      </c>
      <c r="D214" s="14"/>
      <c r="E214" s="14">
        <f t="shared" si="23"/>
        <v>364282.04726653075</v>
      </c>
      <c r="F214" s="14">
        <f t="shared" si="24"/>
        <v>643047350.82478392</v>
      </c>
      <c r="G214" s="1"/>
      <c r="H214" s="4">
        <v>643047350.82000005</v>
      </c>
      <c r="I214" s="7">
        <f t="shared" si="20"/>
        <v>2.8405123915044932E-3</v>
      </c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>
      <c r="A215" s="1" t="s">
        <v>258</v>
      </c>
      <c r="B215" s="14">
        <f t="shared" si="22"/>
        <v>1040805.849332945</v>
      </c>
      <c r="C215" s="14">
        <f t="shared" si="21"/>
        <v>416322.33973317803</v>
      </c>
      <c r="D215" s="14"/>
      <c r="E215" s="14">
        <f t="shared" si="23"/>
        <v>364282.04726653075</v>
      </c>
      <c r="F215" s="14">
        <f t="shared" si="24"/>
        <v>644868761.06111658</v>
      </c>
      <c r="G215" s="1"/>
      <c r="H215" s="4">
        <v>644868761.05999994</v>
      </c>
      <c r="I215" s="7">
        <f t="shared" si="20"/>
        <v>2.8324667501969606E-3</v>
      </c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>
      <c r="A216" s="1" t="s">
        <v>259</v>
      </c>
      <c r="B216" s="14">
        <f t="shared" si="22"/>
        <v>1040805.849332945</v>
      </c>
      <c r="C216" s="14">
        <f>B216*$H$5</f>
        <v>416322.33973317803</v>
      </c>
      <c r="D216" s="14"/>
      <c r="E216" s="14">
        <f t="shared" si="23"/>
        <v>364282.04726653075</v>
      </c>
      <c r="F216" s="14">
        <f t="shared" si="24"/>
        <v>646690171.29744923</v>
      </c>
      <c r="G216" s="1"/>
      <c r="H216" s="4">
        <v>646690171.29999995</v>
      </c>
      <c r="I216" s="7">
        <f t="shared" si="20"/>
        <v>2.8244665426281081E-3</v>
      </c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>
      <c r="A217" s="1" t="s">
        <v>260</v>
      </c>
      <c r="B217" s="14">
        <f t="shared" si="22"/>
        <v>1040805.849332945</v>
      </c>
      <c r="C217" s="14">
        <f>B217*$H$5</f>
        <v>416322.33973317803</v>
      </c>
      <c r="D217" s="14"/>
      <c r="E217" s="14">
        <f t="shared" si="23"/>
        <v>364282.04726653075</v>
      </c>
      <c r="F217" s="14">
        <f t="shared" si="24"/>
        <v>648511581.53378189</v>
      </c>
      <c r="G217" s="1"/>
      <c r="H217" s="4">
        <v>648511581.52999997</v>
      </c>
      <c r="I217" s="7">
        <f t="shared" si="20"/>
        <v>2.8165113849473768E-3</v>
      </c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>
      <c r="A218" s="1" t="s">
        <v>261</v>
      </c>
      <c r="B218" s="14">
        <f t="shared" si="22"/>
        <v>1040805.849332945</v>
      </c>
      <c r="C218" s="14">
        <f>B218*$H$6</f>
        <v>208161.16986658901</v>
      </c>
      <c r="D218" s="14"/>
      <c r="E218" s="14">
        <f t="shared" si="23"/>
        <v>312241.75479988346</v>
      </c>
      <c r="F218" s="14">
        <f t="shared" si="24"/>
        <v>650072790.30778134</v>
      </c>
      <c r="G218" s="1"/>
      <c r="H218" s="4">
        <v>650072790.30999994</v>
      </c>
      <c r="I218" s="7">
        <f t="shared" si="20"/>
        <v>2.4073722420140777E-3</v>
      </c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>
      <c r="A219" s="1" t="s">
        <v>262</v>
      </c>
      <c r="B219" s="14">
        <f t="shared" si="22"/>
        <v>1040805.849332945</v>
      </c>
      <c r="C219" s="14">
        <f t="shared" ref="C219:C267" si="25">B219*$H$6</f>
        <v>208161.16986658901</v>
      </c>
      <c r="D219" s="14"/>
      <c r="E219" s="14">
        <f t="shared" si="23"/>
        <v>312241.75479988346</v>
      </c>
      <c r="F219" s="14">
        <f t="shared" si="24"/>
        <v>651633999.08178079</v>
      </c>
      <c r="G219" s="1"/>
      <c r="H219" s="4">
        <v>651633999.08000004</v>
      </c>
      <c r="I219" s="7">
        <f t="shared" si="20"/>
        <v>2.4015907037973506E-3</v>
      </c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>
      <c r="A220" s="1" t="s">
        <v>263</v>
      </c>
      <c r="B220" s="14">
        <f t="shared" si="22"/>
        <v>1040805.849332945</v>
      </c>
      <c r="C220" s="14">
        <f t="shared" si="25"/>
        <v>208161.16986658901</v>
      </c>
      <c r="D220" s="14"/>
      <c r="E220" s="14">
        <f t="shared" si="23"/>
        <v>312241.75479988346</v>
      </c>
      <c r="F220" s="14">
        <f t="shared" si="24"/>
        <v>653195207.85578024</v>
      </c>
      <c r="G220" s="1"/>
      <c r="H220" s="4">
        <v>653195207.86000001</v>
      </c>
      <c r="I220" s="7">
        <f t="shared" si="20"/>
        <v>2.3958368995542611E-3</v>
      </c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>
      <c r="A221" s="1" t="s">
        <v>264</v>
      </c>
      <c r="B221" s="14">
        <f t="shared" si="22"/>
        <v>1040805.849332945</v>
      </c>
      <c r="C221" s="14">
        <f t="shared" si="25"/>
        <v>208161.16986658901</v>
      </c>
      <c r="D221" s="14"/>
      <c r="E221" s="14">
        <f t="shared" si="23"/>
        <v>312241.75479988346</v>
      </c>
      <c r="F221" s="14">
        <f t="shared" si="24"/>
        <v>654756416.6297797</v>
      </c>
      <c r="G221" s="1"/>
      <c r="H221" s="4">
        <v>654756416.63</v>
      </c>
      <c r="I221" s="7">
        <f t="shared" si="20"/>
        <v>2.3901105691127426E-3</v>
      </c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>
      <c r="A222" s="1" t="s">
        <v>265</v>
      </c>
      <c r="B222" s="14">
        <f>B221*(1-$J$1)</f>
        <v>999173.61535962718</v>
      </c>
      <c r="C222" s="14">
        <f t="shared" si="25"/>
        <v>199834.72307192546</v>
      </c>
      <c r="D222" s="14"/>
      <c r="E222" s="14">
        <f t="shared" si="23"/>
        <v>299752.08460788813</v>
      </c>
      <c r="F222" s="14">
        <f t="shared" si="24"/>
        <v>656255177.05281913</v>
      </c>
      <c r="G222" s="1"/>
      <c r="H222" s="4">
        <v>656255177.04999995</v>
      </c>
      <c r="I222" s="7">
        <f t="shared" si="20"/>
        <v>2.2890351005859636E-3</v>
      </c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>
      <c r="A223" s="1" t="s">
        <v>266</v>
      </c>
      <c r="B223" s="14">
        <f t="shared" si="22"/>
        <v>999173.61535962718</v>
      </c>
      <c r="C223" s="14">
        <f t="shared" si="25"/>
        <v>199834.72307192546</v>
      </c>
      <c r="D223" s="14"/>
      <c r="E223" s="14">
        <f t="shared" si="23"/>
        <v>299752.08460788813</v>
      </c>
      <c r="F223" s="14">
        <f t="shared" si="24"/>
        <v>657753937.47585857</v>
      </c>
      <c r="G223" s="1"/>
      <c r="H223" s="4">
        <v>657753937.48000002</v>
      </c>
      <c r="I223" s="7">
        <f t="shared" si="20"/>
        <v>2.2838074005561352E-3</v>
      </c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>
      <c r="A224" s="1" t="s">
        <v>267</v>
      </c>
      <c r="B224" s="14">
        <f t="shared" si="22"/>
        <v>999173.61535962718</v>
      </c>
      <c r="C224" s="14">
        <f t="shared" si="25"/>
        <v>199834.72307192546</v>
      </c>
      <c r="D224" s="14"/>
      <c r="E224" s="14">
        <f t="shared" si="23"/>
        <v>299752.08460788813</v>
      </c>
      <c r="F224" s="14">
        <f t="shared" si="24"/>
        <v>659252697.89889801</v>
      </c>
      <c r="G224" s="1"/>
      <c r="H224" s="4">
        <v>659252697.89999998</v>
      </c>
      <c r="I224" s="7">
        <f t="shared" si="20"/>
        <v>2.2786034937959292E-3</v>
      </c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>
      <c r="A225" s="1" t="s">
        <v>268</v>
      </c>
      <c r="B225" s="14">
        <f t="shared" si="22"/>
        <v>999173.61535962718</v>
      </c>
      <c r="C225" s="14">
        <f t="shared" si="25"/>
        <v>199834.72307192546</v>
      </c>
      <c r="D225" s="14"/>
      <c r="E225" s="14">
        <f t="shared" si="23"/>
        <v>299752.08460788813</v>
      </c>
      <c r="F225" s="14">
        <f t="shared" si="24"/>
        <v>660751458.32193744</v>
      </c>
      <c r="G225" s="1"/>
      <c r="H225" s="4">
        <v>660751458.32000005</v>
      </c>
      <c r="I225" s="7">
        <f t="shared" ref="I225:I288" si="26">(H225-H224)/H224</f>
        <v>2.2734232636047835E-3</v>
      </c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>
      <c r="A226" s="1" t="s">
        <v>269</v>
      </c>
      <c r="B226" s="14">
        <f t="shared" si="22"/>
        <v>999173.61535962718</v>
      </c>
      <c r="C226" s="14">
        <f t="shared" si="25"/>
        <v>199834.72307192546</v>
      </c>
      <c r="D226" s="14"/>
      <c r="E226" s="14">
        <f t="shared" si="23"/>
        <v>299752.08460788813</v>
      </c>
      <c r="F226" s="14">
        <f t="shared" si="24"/>
        <v>662250218.74497688</v>
      </c>
      <c r="G226" s="1"/>
      <c r="H226" s="4">
        <v>662250218.74000001</v>
      </c>
      <c r="I226" s="7">
        <f t="shared" si="26"/>
        <v>2.2682665336988357E-3</v>
      </c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>
      <c r="A227" s="1" t="s">
        <v>270</v>
      </c>
      <c r="B227" s="14">
        <f t="shared" si="22"/>
        <v>999173.61535962718</v>
      </c>
      <c r="C227" s="14">
        <f t="shared" si="25"/>
        <v>199834.72307192546</v>
      </c>
      <c r="D227" s="14"/>
      <c r="E227" s="14">
        <f t="shared" si="23"/>
        <v>299752.08460788813</v>
      </c>
      <c r="F227" s="14">
        <f t="shared" si="24"/>
        <v>663748979.16801631</v>
      </c>
      <c r="G227" s="1"/>
      <c r="H227" s="4">
        <v>663748979.16999996</v>
      </c>
      <c r="I227" s="7">
        <f t="shared" si="26"/>
        <v>2.2631331596258213E-3</v>
      </c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>
      <c r="A228" s="1" t="s">
        <v>271</v>
      </c>
      <c r="B228" s="14">
        <f t="shared" si="22"/>
        <v>999173.61535962718</v>
      </c>
      <c r="C228" s="14">
        <f t="shared" si="25"/>
        <v>199834.72307192546</v>
      </c>
      <c r="D228" s="14"/>
      <c r="E228" s="14">
        <f t="shared" si="23"/>
        <v>299752.08460788813</v>
      </c>
      <c r="F228" s="14">
        <f t="shared" si="24"/>
        <v>665247739.59105575</v>
      </c>
      <c r="G228" s="1"/>
      <c r="H228" s="4">
        <v>665247739.59000003</v>
      </c>
      <c r="I228" s="7">
        <f t="shared" si="26"/>
        <v>2.2580229379399355E-3</v>
      </c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>
      <c r="A229" s="1" t="s">
        <v>272</v>
      </c>
      <c r="B229" s="14">
        <f t="shared" si="22"/>
        <v>999173.61535962718</v>
      </c>
      <c r="C229" s="14">
        <f t="shared" si="25"/>
        <v>199834.72307192546</v>
      </c>
      <c r="D229" s="14"/>
      <c r="E229" s="14">
        <f t="shared" si="23"/>
        <v>299752.08460788813</v>
      </c>
      <c r="F229" s="14">
        <f t="shared" si="24"/>
        <v>666746500.01409519</v>
      </c>
      <c r="G229" s="1"/>
      <c r="H229" s="4">
        <v>666746500.00999999</v>
      </c>
      <c r="I229" s="7">
        <f t="shared" si="26"/>
        <v>2.2529357573220178E-3</v>
      </c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>
      <c r="A230" s="1" t="s">
        <v>273</v>
      </c>
      <c r="B230" s="14">
        <f t="shared" si="22"/>
        <v>999173.61535962718</v>
      </c>
      <c r="C230" s="14">
        <f t="shared" si="25"/>
        <v>199834.72307192546</v>
      </c>
      <c r="D230" s="14"/>
      <c r="E230" s="14">
        <f t="shared" si="23"/>
        <v>299752.08460788813</v>
      </c>
      <c r="F230" s="14">
        <f t="shared" si="24"/>
        <v>668245260.43713462</v>
      </c>
      <c r="G230" s="1"/>
      <c r="H230" s="4">
        <v>668245260.44000006</v>
      </c>
      <c r="I230" s="7">
        <f t="shared" si="26"/>
        <v>2.2478714623587648E-3</v>
      </c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>
      <c r="A231" s="1" t="s">
        <v>274</v>
      </c>
      <c r="B231" s="14">
        <f t="shared" si="22"/>
        <v>999173.61535962718</v>
      </c>
      <c r="C231" s="14">
        <f t="shared" si="25"/>
        <v>199834.72307192546</v>
      </c>
      <c r="D231" s="14"/>
      <c r="E231" s="14">
        <f t="shared" si="23"/>
        <v>299752.08460788813</v>
      </c>
      <c r="F231" s="14">
        <f t="shared" si="24"/>
        <v>669744020.86017406</v>
      </c>
      <c r="G231" s="1"/>
      <c r="H231" s="4">
        <v>669744020.86000001</v>
      </c>
      <c r="I231" s="7">
        <f t="shared" si="26"/>
        <v>2.2428298541363567E-3</v>
      </c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>
      <c r="A232" s="1" t="s">
        <v>275</v>
      </c>
      <c r="B232" s="14">
        <f t="shared" si="22"/>
        <v>999173.61535962718</v>
      </c>
      <c r="C232" s="14">
        <f t="shared" si="25"/>
        <v>199834.72307192546</v>
      </c>
      <c r="D232" s="14"/>
      <c r="E232" s="14">
        <f t="shared" si="23"/>
        <v>299752.08460788813</v>
      </c>
      <c r="F232" s="14">
        <f t="shared" si="24"/>
        <v>671242781.2832135</v>
      </c>
      <c r="G232" s="1"/>
      <c r="H232" s="4">
        <v>671242781.27999997</v>
      </c>
      <c r="I232" s="7">
        <f t="shared" si="26"/>
        <v>2.2378108252096669E-3</v>
      </c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>
      <c r="A233" s="1" t="s">
        <v>276</v>
      </c>
      <c r="B233" s="14">
        <f t="shared" si="22"/>
        <v>999173.61535962718</v>
      </c>
      <c r="C233" s="14">
        <f t="shared" si="25"/>
        <v>199834.72307192546</v>
      </c>
      <c r="D233" s="14"/>
      <c r="E233" s="14">
        <f t="shared" si="23"/>
        <v>299752.08460788813</v>
      </c>
      <c r="F233" s="14">
        <f t="shared" si="24"/>
        <v>672741541.70625293</v>
      </c>
      <c r="G233" s="1"/>
      <c r="H233" s="4">
        <v>672741541.71000004</v>
      </c>
      <c r="I233" s="7">
        <f t="shared" si="26"/>
        <v>2.2328142242990898E-3</v>
      </c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>
      <c r="A234" s="1" t="s">
        <v>277</v>
      </c>
      <c r="B234" s="14">
        <f>B233*(1-$J$1)</f>
        <v>959206.67074524204</v>
      </c>
      <c r="C234" s="14">
        <f t="shared" si="25"/>
        <v>191841.33414904843</v>
      </c>
      <c r="D234" s="14"/>
      <c r="E234" s="14">
        <f t="shared" si="23"/>
        <v>287762.00122357265</v>
      </c>
      <c r="F234" s="14">
        <f t="shared" si="24"/>
        <v>674180351.71237075</v>
      </c>
      <c r="G234" s="1"/>
      <c r="H234" s="4">
        <v>674180351.71000004</v>
      </c>
      <c r="I234" s="7">
        <f t="shared" si="26"/>
        <v>2.1387262578475203E-3</v>
      </c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>
      <c r="A235" s="1" t="s">
        <v>278</v>
      </c>
      <c r="B235" s="14">
        <f t="shared" si="22"/>
        <v>959206.67074524204</v>
      </c>
      <c r="C235" s="14">
        <f t="shared" si="25"/>
        <v>191841.33414904843</v>
      </c>
      <c r="D235" s="14"/>
      <c r="E235" s="14">
        <f t="shared" si="23"/>
        <v>287762.00122357265</v>
      </c>
      <c r="F235" s="14">
        <f t="shared" si="24"/>
        <v>675619161.71848857</v>
      </c>
      <c r="G235" s="1"/>
      <c r="H235" s="4">
        <v>675619161.72000003</v>
      </c>
      <c r="I235" s="7">
        <f t="shared" si="26"/>
        <v>2.1341618846508559E-3</v>
      </c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>
      <c r="A236" s="1" t="s">
        <v>279</v>
      </c>
      <c r="B236" s="14">
        <f t="shared" si="22"/>
        <v>959206.67074524204</v>
      </c>
      <c r="C236" s="14">
        <f t="shared" si="25"/>
        <v>191841.33414904843</v>
      </c>
      <c r="D236" s="14"/>
      <c r="E236" s="14">
        <f t="shared" si="23"/>
        <v>287762.00122357265</v>
      </c>
      <c r="F236" s="14">
        <f t="shared" si="24"/>
        <v>677057971.72460639</v>
      </c>
      <c r="G236" s="1"/>
      <c r="H236" s="4">
        <v>677057971.72000003</v>
      </c>
      <c r="I236" s="7">
        <f t="shared" si="26"/>
        <v>2.1296169225530235E-3</v>
      </c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>
      <c r="A237" s="1" t="s">
        <v>280</v>
      </c>
      <c r="B237" s="14">
        <f t="shared" si="22"/>
        <v>959206.67074524204</v>
      </c>
      <c r="C237" s="14">
        <f t="shared" si="25"/>
        <v>191841.33414904843</v>
      </c>
      <c r="D237" s="14"/>
      <c r="E237" s="14">
        <f t="shared" si="23"/>
        <v>287762.00122357265</v>
      </c>
      <c r="F237" s="14">
        <f t="shared" si="24"/>
        <v>678496781.73072422</v>
      </c>
      <c r="G237" s="1"/>
      <c r="H237" s="4">
        <v>678496781.73000002</v>
      </c>
      <c r="I237" s="7">
        <f t="shared" si="26"/>
        <v>2.1250913069450071E-3</v>
      </c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>
      <c r="A238" s="1" t="s">
        <v>281</v>
      </c>
      <c r="B238" s="14">
        <f t="shared" si="22"/>
        <v>959206.67074524204</v>
      </c>
      <c r="C238" s="14">
        <f t="shared" si="25"/>
        <v>191841.33414904843</v>
      </c>
      <c r="D238" s="14"/>
      <c r="E238" s="14">
        <f t="shared" si="23"/>
        <v>287762.00122357265</v>
      </c>
      <c r="F238" s="14">
        <f t="shared" si="24"/>
        <v>679935591.73684204</v>
      </c>
      <c r="G238" s="1"/>
      <c r="H238" s="4">
        <v>679935591.74000001</v>
      </c>
      <c r="I238" s="7">
        <f t="shared" si="26"/>
        <v>2.1205848704711296E-3</v>
      </c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>
      <c r="A239" s="1" t="s">
        <v>282</v>
      </c>
      <c r="B239" s="14">
        <f t="shared" si="22"/>
        <v>959206.67074524204</v>
      </c>
      <c r="C239" s="14">
        <f t="shared" si="25"/>
        <v>191841.33414904843</v>
      </c>
      <c r="D239" s="14"/>
      <c r="E239" s="14">
        <f t="shared" si="23"/>
        <v>287762.00122357265</v>
      </c>
      <c r="F239" s="14">
        <f t="shared" si="24"/>
        <v>681374401.74295986</v>
      </c>
      <c r="G239" s="1"/>
      <c r="H239" s="4">
        <v>681374401.74000001</v>
      </c>
      <c r="I239" s="7">
        <f t="shared" si="26"/>
        <v>2.1160974914079585E-3</v>
      </c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>
      <c r="A240" s="1" t="s">
        <v>283</v>
      </c>
      <c r="B240" s="14">
        <f t="shared" si="22"/>
        <v>959206.67074524204</v>
      </c>
      <c r="C240" s="14">
        <f t="shared" si="25"/>
        <v>191841.33414904843</v>
      </c>
      <c r="D240" s="14"/>
      <c r="E240" s="14">
        <f t="shared" si="23"/>
        <v>287762.00122357265</v>
      </c>
      <c r="F240" s="14">
        <f t="shared" si="24"/>
        <v>682813211.74907768</v>
      </c>
      <c r="G240" s="1"/>
      <c r="H240" s="4">
        <v>682813211.75</v>
      </c>
      <c r="I240" s="7">
        <f t="shared" si="26"/>
        <v>2.1116290930885515E-3</v>
      </c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>
      <c r="A241" s="1" t="s">
        <v>284</v>
      </c>
      <c r="B241" s="14">
        <f t="shared" si="22"/>
        <v>959206.67074524204</v>
      </c>
      <c r="C241" s="14">
        <f t="shared" si="25"/>
        <v>191841.33414904843</v>
      </c>
      <c r="D241" s="14"/>
      <c r="E241" s="14">
        <f t="shared" si="23"/>
        <v>287762.00122357265</v>
      </c>
      <c r="F241" s="14">
        <f t="shared" si="24"/>
        <v>684252021.7551955</v>
      </c>
      <c r="G241" s="1"/>
      <c r="H241" s="4">
        <v>684252021.75999999</v>
      </c>
      <c r="I241" s="7">
        <f t="shared" si="26"/>
        <v>2.1071795115276495E-3</v>
      </c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>
      <c r="A242" s="1" t="s">
        <v>285</v>
      </c>
      <c r="B242" s="14">
        <f t="shared" si="22"/>
        <v>959206.67074524204</v>
      </c>
      <c r="C242" s="14">
        <f t="shared" si="25"/>
        <v>191841.33414904843</v>
      </c>
      <c r="D242" s="14"/>
      <c r="E242" s="14">
        <f t="shared" si="23"/>
        <v>287762.00122357265</v>
      </c>
      <c r="F242" s="14">
        <f t="shared" si="24"/>
        <v>685690831.76131332</v>
      </c>
      <c r="G242" s="1"/>
      <c r="H242" s="4">
        <v>685690831.75999999</v>
      </c>
      <c r="I242" s="7">
        <f t="shared" si="26"/>
        <v>2.1027486280554386E-3</v>
      </c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>
      <c r="A243" s="1" t="s">
        <v>286</v>
      </c>
      <c r="B243" s="14">
        <f t="shared" si="22"/>
        <v>959206.67074524204</v>
      </c>
      <c r="C243" s="14">
        <f t="shared" si="25"/>
        <v>191841.33414904843</v>
      </c>
      <c r="D243" s="14"/>
      <c r="E243" s="14">
        <f t="shared" si="23"/>
        <v>287762.00122357265</v>
      </c>
      <c r="F243" s="14">
        <f t="shared" si="24"/>
        <v>687129641.76743114</v>
      </c>
      <c r="G243" s="1"/>
      <c r="H243" s="4">
        <v>687129641.76999998</v>
      </c>
      <c r="I243" s="7">
        <f t="shared" si="26"/>
        <v>2.0983363687493363E-3</v>
      </c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>
      <c r="A244" s="1" t="s">
        <v>287</v>
      </c>
      <c r="B244" s="14">
        <f t="shared" si="22"/>
        <v>959206.67074524204</v>
      </c>
      <c r="C244" s="14">
        <f t="shared" si="25"/>
        <v>191841.33414904843</v>
      </c>
      <c r="D244" s="14"/>
      <c r="E244" s="14">
        <f t="shared" si="23"/>
        <v>287762.00122357265</v>
      </c>
      <c r="F244" s="14">
        <f t="shared" si="24"/>
        <v>688568451.77354896</v>
      </c>
      <c r="G244" s="1"/>
      <c r="H244" s="4">
        <v>688568451.76999998</v>
      </c>
      <c r="I244" s="7">
        <f t="shared" si="26"/>
        <v>2.0939425583412787E-3</v>
      </c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>
      <c r="A245" s="1" t="s">
        <v>288</v>
      </c>
      <c r="B245" s="14">
        <f t="shared" si="22"/>
        <v>959206.67074524204</v>
      </c>
      <c r="C245" s="14">
        <f t="shared" si="25"/>
        <v>191841.33414904843</v>
      </c>
      <c r="D245" s="14"/>
      <c r="E245" s="14">
        <f t="shared" si="23"/>
        <v>287762.00122357265</v>
      </c>
      <c r="F245" s="14">
        <f t="shared" si="24"/>
        <v>690007261.77966678</v>
      </c>
      <c r="G245" s="1"/>
      <c r="H245" s="4">
        <v>690007261.77999997</v>
      </c>
      <c r="I245" s="7">
        <f t="shared" si="26"/>
        <v>2.0895671393329983E-3</v>
      </c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>
      <c r="A246" s="1" t="s">
        <v>289</v>
      </c>
      <c r="B246" s="14">
        <f>B245*(1-$J$1)</f>
        <v>920838.40391543228</v>
      </c>
      <c r="C246" s="14">
        <f t="shared" si="25"/>
        <v>184167.68078308646</v>
      </c>
      <c r="D246" s="14"/>
      <c r="E246" s="14">
        <f t="shared" si="23"/>
        <v>276251.52117462968</v>
      </c>
      <c r="F246" s="14">
        <f t="shared" si="24"/>
        <v>691388519.38553989</v>
      </c>
      <c r="G246" s="1"/>
      <c r="H246" s="4">
        <v>691388519.38999999</v>
      </c>
      <c r="I246" s="7">
        <f t="shared" si="26"/>
        <v>2.0018015555906001E-3</v>
      </c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>
      <c r="A247" s="1" t="s">
        <v>290</v>
      </c>
      <c r="B247" s="14">
        <f t="shared" si="22"/>
        <v>920838.40391543228</v>
      </c>
      <c r="C247" s="14">
        <f t="shared" si="25"/>
        <v>184167.68078308646</v>
      </c>
      <c r="D247" s="14"/>
      <c r="E247" s="14">
        <f t="shared" si="23"/>
        <v>276251.52117462968</v>
      </c>
      <c r="F247" s="14">
        <f t="shared" si="24"/>
        <v>692769776.991413</v>
      </c>
      <c r="G247" s="1"/>
      <c r="H247" s="4">
        <v>692769776.99000001</v>
      </c>
      <c r="I247" s="7">
        <f t="shared" si="26"/>
        <v>1.9978023372715001E-3</v>
      </c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>
      <c r="A248" s="1" t="s">
        <v>291</v>
      </c>
      <c r="B248" s="14">
        <f t="shared" si="22"/>
        <v>920838.40391543228</v>
      </c>
      <c r="C248" s="14">
        <f t="shared" si="25"/>
        <v>184167.68078308646</v>
      </c>
      <c r="D248" s="14"/>
      <c r="E248" s="14">
        <f t="shared" si="23"/>
        <v>276251.52117462968</v>
      </c>
      <c r="F248" s="14">
        <f t="shared" si="24"/>
        <v>694151034.59728611</v>
      </c>
      <c r="G248" s="1"/>
      <c r="H248" s="4">
        <v>694151034.60000002</v>
      </c>
      <c r="I248" s="7">
        <f t="shared" si="26"/>
        <v>1.993819095286474E-3</v>
      </c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>
      <c r="A249" s="1" t="s">
        <v>292</v>
      </c>
      <c r="B249" s="14">
        <f t="shared" si="22"/>
        <v>920838.40391543228</v>
      </c>
      <c r="C249" s="14">
        <f t="shared" si="25"/>
        <v>184167.68078308646</v>
      </c>
      <c r="D249" s="14"/>
      <c r="E249" s="14">
        <f t="shared" si="23"/>
        <v>276251.52117462968</v>
      </c>
      <c r="F249" s="14">
        <f t="shared" si="24"/>
        <v>695532292.20315921</v>
      </c>
      <c r="G249" s="1"/>
      <c r="H249" s="4">
        <v>695532292.20000005</v>
      </c>
      <c r="I249" s="7">
        <f t="shared" si="26"/>
        <v>1.989851676582121E-3</v>
      </c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>
      <c r="A250" s="1" t="s">
        <v>293</v>
      </c>
      <c r="B250" s="14">
        <f t="shared" si="22"/>
        <v>920838.40391543228</v>
      </c>
      <c r="C250" s="14">
        <f t="shared" si="25"/>
        <v>184167.68078308646</v>
      </c>
      <c r="D250" s="14"/>
      <c r="E250" s="14">
        <f t="shared" si="23"/>
        <v>276251.52117462968</v>
      </c>
      <c r="F250" s="14">
        <f t="shared" si="24"/>
        <v>696913549.80903232</v>
      </c>
      <c r="G250" s="1"/>
      <c r="H250" s="4">
        <v>696913549.80999994</v>
      </c>
      <c r="I250" s="7">
        <f t="shared" si="26"/>
        <v>1.9859000444550387E-3</v>
      </c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>
      <c r="A251" s="1" t="s">
        <v>294</v>
      </c>
      <c r="B251" s="14">
        <f t="shared" si="22"/>
        <v>920838.40391543228</v>
      </c>
      <c r="C251" s="14">
        <f t="shared" si="25"/>
        <v>184167.68078308646</v>
      </c>
      <c r="D251" s="14"/>
      <c r="E251" s="14">
        <f t="shared" si="23"/>
        <v>276251.52117462968</v>
      </c>
      <c r="F251" s="14">
        <f t="shared" si="24"/>
        <v>698294807.41490543</v>
      </c>
      <c r="G251" s="1"/>
      <c r="H251" s="4">
        <v>698294807.40999997</v>
      </c>
      <c r="I251" s="7">
        <f t="shared" si="26"/>
        <v>1.9819640475875339E-3</v>
      </c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>
      <c r="A252" s="1" t="s">
        <v>295</v>
      </c>
      <c r="B252" s="14">
        <f t="shared" si="22"/>
        <v>920838.40391543228</v>
      </c>
      <c r="C252" s="14">
        <f t="shared" si="25"/>
        <v>184167.68078308646</v>
      </c>
      <c r="D252" s="14"/>
      <c r="E252" s="14">
        <f t="shared" si="23"/>
        <v>276251.52117462968</v>
      </c>
      <c r="F252" s="14">
        <f t="shared" si="24"/>
        <v>699676065.02077854</v>
      </c>
      <c r="G252" s="1"/>
      <c r="H252" s="4">
        <v>699676065.01999998</v>
      </c>
      <c r="I252" s="7">
        <f t="shared" si="26"/>
        <v>1.97804365053658E-3</v>
      </c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>
      <c r="A253" s="1" t="s">
        <v>296</v>
      </c>
      <c r="B253" s="14">
        <f t="shared" si="22"/>
        <v>920838.40391543228</v>
      </c>
      <c r="C253" s="14">
        <f t="shared" si="25"/>
        <v>184167.68078308646</v>
      </c>
      <c r="D253" s="14"/>
      <c r="E253" s="14">
        <f t="shared" si="23"/>
        <v>276251.52117462968</v>
      </c>
      <c r="F253" s="14">
        <f t="shared" si="24"/>
        <v>701057322.62665164</v>
      </c>
      <c r="G253" s="1"/>
      <c r="H253" s="4">
        <v>701057322.63</v>
      </c>
      <c r="I253" s="7">
        <f t="shared" si="26"/>
        <v>1.9741387179802007E-3</v>
      </c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>
      <c r="A254" s="1" t="s">
        <v>297</v>
      </c>
      <c r="B254" s="14">
        <f t="shared" si="22"/>
        <v>920838.40391543228</v>
      </c>
      <c r="C254" s="14">
        <f t="shared" si="25"/>
        <v>184167.68078308646</v>
      </c>
      <c r="D254" s="14"/>
      <c r="E254" s="14">
        <f t="shared" si="23"/>
        <v>276251.52117462968</v>
      </c>
      <c r="F254" s="14">
        <f t="shared" si="24"/>
        <v>702438580.23252475</v>
      </c>
      <c r="G254" s="1"/>
      <c r="H254" s="4">
        <v>702438580.23000002</v>
      </c>
      <c r="I254" s="7">
        <f t="shared" si="26"/>
        <v>1.9702491585399445E-3</v>
      </c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>
      <c r="A255" s="1" t="s">
        <v>298</v>
      </c>
      <c r="B255" s="14">
        <f t="shared" si="22"/>
        <v>920838.40391543228</v>
      </c>
      <c r="C255" s="14">
        <f t="shared" si="25"/>
        <v>184167.68078308646</v>
      </c>
      <c r="D255" s="14"/>
      <c r="E255" s="14">
        <f t="shared" si="23"/>
        <v>276251.52117462968</v>
      </c>
      <c r="F255" s="14">
        <f t="shared" si="24"/>
        <v>703819837.83839786</v>
      </c>
      <c r="G255" s="1"/>
      <c r="H255" s="4">
        <v>703819837.84000003</v>
      </c>
      <c r="I255" s="7">
        <f t="shared" si="26"/>
        <v>1.9663749242641942E-3</v>
      </c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>
      <c r="A256" s="1" t="s">
        <v>299</v>
      </c>
      <c r="B256" s="14">
        <f t="shared" ref="B256:B319" si="27">B255</f>
        <v>920838.40391543228</v>
      </c>
      <c r="C256" s="14">
        <f t="shared" si="25"/>
        <v>184167.68078308646</v>
      </c>
      <c r="D256" s="14"/>
      <c r="E256" s="14">
        <f t="shared" si="23"/>
        <v>276251.52117462968</v>
      </c>
      <c r="F256" s="14">
        <f t="shared" si="24"/>
        <v>705201095.44427097</v>
      </c>
      <c r="G256" s="1"/>
      <c r="H256" s="4">
        <v>705201095.44000006</v>
      </c>
      <c r="I256" s="7">
        <f t="shared" si="26"/>
        <v>1.9625158680367095E-3</v>
      </c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>
      <c r="A257" s="1" t="s">
        <v>300</v>
      </c>
      <c r="B257" s="14">
        <f t="shared" si="27"/>
        <v>920838.40391543228</v>
      </c>
      <c r="C257" s="14">
        <f t="shared" si="25"/>
        <v>184167.68078308646</v>
      </c>
      <c r="D257" s="14"/>
      <c r="E257" s="14">
        <f t="shared" si="23"/>
        <v>276251.52117462968</v>
      </c>
      <c r="F257" s="14">
        <f t="shared" si="24"/>
        <v>706582353.05014408</v>
      </c>
      <c r="G257" s="1"/>
      <c r="H257" s="4">
        <v>706582353.04999995</v>
      </c>
      <c r="I257" s="7">
        <f t="shared" si="26"/>
        <v>1.9586719574479381E-3</v>
      </c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>
      <c r="A258" s="1" t="s">
        <v>301</v>
      </c>
      <c r="B258" s="14">
        <f>B257*(1-$J$1)</f>
        <v>884004.86775881494</v>
      </c>
      <c r="C258" s="14">
        <f t="shared" si="25"/>
        <v>176800.97355176299</v>
      </c>
      <c r="D258" s="14"/>
      <c r="E258" s="14">
        <f t="shared" si="23"/>
        <v>265201.46032764448</v>
      </c>
      <c r="F258" s="14">
        <f t="shared" si="24"/>
        <v>707908360.35178232</v>
      </c>
      <c r="G258" s="1"/>
      <c r="H258" s="4">
        <v>707908360.35000002</v>
      </c>
      <c r="I258" s="7">
        <f t="shared" si="26"/>
        <v>1.8766493307910835E-3</v>
      </c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>
      <c r="A259" s="1" t="s">
        <v>302</v>
      </c>
      <c r="B259" s="14">
        <f t="shared" si="27"/>
        <v>884004.86775881494</v>
      </c>
      <c r="C259" s="14">
        <f t="shared" si="25"/>
        <v>176800.97355176299</v>
      </c>
      <c r="D259" s="14"/>
      <c r="E259" s="14">
        <f t="shared" si="23"/>
        <v>265201.46032764448</v>
      </c>
      <c r="F259" s="14">
        <f t="shared" si="24"/>
        <v>709234367.65342057</v>
      </c>
      <c r="G259" s="1"/>
      <c r="H259" s="4">
        <v>709234367.64999998</v>
      </c>
      <c r="I259" s="7">
        <f t="shared" si="26"/>
        <v>1.8731341149076913E-3</v>
      </c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>
      <c r="A260" s="1" t="s">
        <v>303</v>
      </c>
      <c r="B260" s="14">
        <f t="shared" si="27"/>
        <v>884004.86775881494</v>
      </c>
      <c r="C260" s="14">
        <f t="shared" si="25"/>
        <v>176800.97355176299</v>
      </c>
      <c r="D260" s="14"/>
      <c r="E260" s="14">
        <f t="shared" si="23"/>
        <v>265201.46032764448</v>
      </c>
      <c r="F260" s="14">
        <f t="shared" si="24"/>
        <v>710560374.95505881</v>
      </c>
      <c r="G260" s="1"/>
      <c r="H260" s="4">
        <v>710560374.96000004</v>
      </c>
      <c r="I260" s="7">
        <f t="shared" si="26"/>
        <v>1.8696320574448436E-3</v>
      </c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>
      <c r="A261" s="1" t="s">
        <v>304</v>
      </c>
      <c r="B261" s="14">
        <f t="shared" si="27"/>
        <v>884004.86775881494</v>
      </c>
      <c r="C261" s="14">
        <f t="shared" si="25"/>
        <v>176800.97355176299</v>
      </c>
      <c r="D261" s="14"/>
      <c r="E261" s="14">
        <f t="shared" si="23"/>
        <v>265201.46032764448</v>
      </c>
      <c r="F261" s="14">
        <f t="shared" si="24"/>
        <v>711886382.25669706</v>
      </c>
      <c r="G261" s="1"/>
      <c r="H261" s="4">
        <v>711886382.25999999</v>
      </c>
      <c r="I261" s="7">
        <f t="shared" si="26"/>
        <v>1.8661430424889622E-3</v>
      </c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>
      <c r="A262" s="1" t="s">
        <v>305</v>
      </c>
      <c r="B262" s="14">
        <f t="shared" si="27"/>
        <v>884004.86775881494</v>
      </c>
      <c r="C262" s="14">
        <f t="shared" si="25"/>
        <v>176800.97355176299</v>
      </c>
      <c r="D262" s="14"/>
      <c r="E262" s="14">
        <f t="shared" si="23"/>
        <v>265201.46032764448</v>
      </c>
      <c r="F262" s="14">
        <f t="shared" si="24"/>
        <v>713212389.5583353</v>
      </c>
      <c r="G262" s="1"/>
      <c r="H262" s="4">
        <v>713212389.55999994</v>
      </c>
      <c r="I262" s="7">
        <f t="shared" si="26"/>
        <v>1.8626670393530002E-3</v>
      </c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>
      <c r="A263" s="1" t="s">
        <v>306</v>
      </c>
      <c r="B263" s="14">
        <f t="shared" si="27"/>
        <v>884004.86775881494</v>
      </c>
      <c r="C263" s="14">
        <f t="shared" si="25"/>
        <v>176800.97355176299</v>
      </c>
      <c r="D263" s="14"/>
      <c r="E263" s="14">
        <f t="shared" si="23"/>
        <v>265201.46032764448</v>
      </c>
      <c r="F263" s="14">
        <f t="shared" si="24"/>
        <v>714538396.85997355</v>
      </c>
      <c r="G263" s="1"/>
      <c r="H263" s="4">
        <v>714538396.86000001</v>
      </c>
      <c r="I263" s="7">
        <f t="shared" si="26"/>
        <v>1.8592039614148057E-3</v>
      </c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>
      <c r="A264" s="1" t="s">
        <v>307</v>
      </c>
      <c r="B264" s="14">
        <f t="shared" si="27"/>
        <v>884004.86775881494</v>
      </c>
      <c r="C264" s="14">
        <f t="shared" si="25"/>
        <v>176800.97355176299</v>
      </c>
      <c r="D264" s="14"/>
      <c r="E264" s="14">
        <f t="shared" si="23"/>
        <v>265201.46032764448</v>
      </c>
      <c r="F264" s="14">
        <f t="shared" si="24"/>
        <v>715864404.1616118</v>
      </c>
      <c r="G264" s="1"/>
      <c r="H264" s="4">
        <v>715864404.15999997</v>
      </c>
      <c r="I264" s="7">
        <f t="shared" si="26"/>
        <v>1.855753736715926E-3</v>
      </c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>
      <c r="A265" s="1" t="s">
        <v>308</v>
      </c>
      <c r="B265" s="14">
        <f t="shared" si="27"/>
        <v>884004.86775881494</v>
      </c>
      <c r="C265" s="14">
        <f t="shared" si="25"/>
        <v>176800.97355176299</v>
      </c>
      <c r="D265" s="14"/>
      <c r="E265" s="14">
        <f t="shared" si="23"/>
        <v>265201.46032764448</v>
      </c>
      <c r="F265" s="14">
        <f t="shared" si="24"/>
        <v>717190411.46325004</v>
      </c>
      <c r="G265" s="1"/>
      <c r="H265" s="4">
        <v>717190411.46000004</v>
      </c>
      <c r="I265" s="7">
        <f t="shared" si="26"/>
        <v>1.8523162938322338E-3</v>
      </c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>
      <c r="A266" s="1" t="s">
        <v>309</v>
      </c>
      <c r="B266" s="14">
        <f t="shared" si="27"/>
        <v>884004.86775881494</v>
      </c>
      <c r="C266" s="14">
        <f t="shared" si="25"/>
        <v>176800.97355176299</v>
      </c>
      <c r="D266" s="14"/>
      <c r="E266" s="14">
        <f t="shared" si="23"/>
        <v>265201.46032764448</v>
      </c>
      <c r="F266" s="14">
        <f t="shared" si="24"/>
        <v>718516418.76488829</v>
      </c>
      <c r="G266" s="1"/>
      <c r="H266" s="4">
        <v>718516418.75999999</v>
      </c>
      <c r="I266" s="7">
        <f t="shared" si="26"/>
        <v>1.8488915618664931E-3</v>
      </c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>
      <c r="A267" s="1" t="s">
        <v>310</v>
      </c>
      <c r="B267" s="14">
        <f t="shared" si="27"/>
        <v>884004.86775881494</v>
      </c>
      <c r="C267" s="14">
        <f t="shared" si="25"/>
        <v>176800.97355176299</v>
      </c>
      <c r="D267" s="14"/>
      <c r="E267" s="14">
        <f t="shared" si="23"/>
        <v>265201.46032764448</v>
      </c>
      <c r="F267" s="14">
        <f t="shared" si="24"/>
        <v>719842426.06652653</v>
      </c>
      <c r="G267" s="1"/>
      <c r="H267" s="4">
        <v>719842426.07000005</v>
      </c>
      <c r="I267" s="7">
        <f t="shared" si="26"/>
        <v>1.8454794843637068E-3</v>
      </c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>
      <c r="A268" s="1" t="s">
        <v>311</v>
      </c>
      <c r="B268" s="14">
        <f t="shared" si="27"/>
        <v>884004.86775881494</v>
      </c>
      <c r="C268" s="14">
        <f>B268*$H$6</f>
        <v>176800.97355176299</v>
      </c>
      <c r="D268" s="14"/>
      <c r="E268" s="14">
        <f t="shared" si="23"/>
        <v>265201.46032764448</v>
      </c>
      <c r="F268" s="14">
        <f t="shared" si="24"/>
        <v>721168433.36816478</v>
      </c>
      <c r="G268" s="1"/>
      <c r="H268" s="4">
        <v>721168433.37</v>
      </c>
      <c r="I268" s="7">
        <f t="shared" si="26"/>
        <v>1.8420799496902767E-3</v>
      </c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>
      <c r="A269" s="1" t="s">
        <v>312</v>
      </c>
      <c r="B269" s="14">
        <f t="shared" si="27"/>
        <v>884004.86775881494</v>
      </c>
      <c r="C269" s="14">
        <f t="shared" ref="C269:C332" si="28">B269*$H$6</f>
        <v>176800.97355176299</v>
      </c>
      <c r="D269" s="14"/>
      <c r="E269" s="14">
        <f t="shared" si="23"/>
        <v>265201.46032764448</v>
      </c>
      <c r="F269" s="14">
        <f t="shared" si="24"/>
        <v>722494440.66980302</v>
      </c>
      <c r="G269" s="1"/>
      <c r="H269" s="4">
        <v>722494440.66999996</v>
      </c>
      <c r="I269" s="7">
        <f t="shared" si="26"/>
        <v>1.8386929303097158E-3</v>
      </c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>
      <c r="A270" s="1" t="s">
        <v>313</v>
      </c>
      <c r="B270" s="14">
        <f>B269*(1-$J$1)</f>
        <v>848644.67304846237</v>
      </c>
      <c r="C270" s="14">
        <f t="shared" si="28"/>
        <v>169728.93460969249</v>
      </c>
      <c r="D270" s="14"/>
      <c r="E270" s="14">
        <f t="shared" si="23"/>
        <v>254593.4019145387</v>
      </c>
      <c r="F270" s="14">
        <f t="shared" si="24"/>
        <v>723767407.67937577</v>
      </c>
      <c r="G270" s="1"/>
      <c r="H270" s="4">
        <v>723767407.67999995</v>
      </c>
      <c r="I270" s="7">
        <f t="shared" si="26"/>
        <v>1.7619056124771198E-3</v>
      </c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>
      <c r="A271" s="1" t="s">
        <v>314</v>
      </c>
      <c r="B271" s="14">
        <f t="shared" si="27"/>
        <v>848644.67304846237</v>
      </c>
      <c r="C271" s="14">
        <f t="shared" si="28"/>
        <v>169728.93460969249</v>
      </c>
      <c r="D271" s="14"/>
      <c r="E271" s="14">
        <f t="shared" si="23"/>
        <v>254593.4019145387</v>
      </c>
      <c r="F271" s="14">
        <f t="shared" si="24"/>
        <v>725040374.68894851</v>
      </c>
      <c r="G271" s="1"/>
      <c r="H271" s="4">
        <v>725040374.69000006</v>
      </c>
      <c r="I271" s="7">
        <f t="shared" si="26"/>
        <v>1.7588067609738624E-3</v>
      </c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>
      <c r="A272" s="1" t="s">
        <v>315</v>
      </c>
      <c r="B272" s="14">
        <f t="shared" si="27"/>
        <v>848644.67304846237</v>
      </c>
      <c r="C272" s="14">
        <f t="shared" si="28"/>
        <v>169728.93460969249</v>
      </c>
      <c r="D272" s="14"/>
      <c r="E272" s="14">
        <f t="shared" si="23"/>
        <v>254593.4019145387</v>
      </c>
      <c r="F272" s="14">
        <f t="shared" si="24"/>
        <v>726313341.69852126</v>
      </c>
      <c r="G272" s="1"/>
      <c r="H272" s="4">
        <v>726313341.70000005</v>
      </c>
      <c r="I272" s="7">
        <f t="shared" si="26"/>
        <v>1.7557187908939047E-3</v>
      </c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>
      <c r="A273" s="1" t="s">
        <v>316</v>
      </c>
      <c r="B273" s="14">
        <f t="shared" si="27"/>
        <v>848644.67304846237</v>
      </c>
      <c r="C273" s="14">
        <f t="shared" si="28"/>
        <v>169728.93460969249</v>
      </c>
      <c r="D273" s="14"/>
      <c r="E273" s="14">
        <f t="shared" si="23"/>
        <v>254593.4019145387</v>
      </c>
      <c r="F273" s="14">
        <f t="shared" si="24"/>
        <v>727586308.708094</v>
      </c>
      <c r="G273" s="1"/>
      <c r="H273" s="4">
        <v>727586308.71000004</v>
      </c>
      <c r="I273" s="7">
        <f t="shared" si="26"/>
        <v>1.7526416450240328E-3</v>
      </c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>
      <c r="A274" s="1" t="s">
        <v>317</v>
      </c>
      <c r="B274" s="14">
        <f t="shared" si="27"/>
        <v>848644.67304846237</v>
      </c>
      <c r="C274" s="14">
        <f t="shared" si="28"/>
        <v>169728.93460969249</v>
      </c>
      <c r="D274" s="14"/>
      <c r="E274" s="14">
        <f t="shared" si="23"/>
        <v>254593.4019145387</v>
      </c>
      <c r="F274" s="14">
        <f t="shared" si="24"/>
        <v>728859275.71766675</v>
      </c>
      <c r="G274" s="1"/>
      <c r="H274" s="4">
        <v>728859275.72000003</v>
      </c>
      <c r="I274" s="7">
        <f t="shared" si="26"/>
        <v>1.7495752665507719E-3</v>
      </c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>
      <c r="A275" s="1" t="s">
        <v>318</v>
      </c>
      <c r="B275" s="14">
        <f t="shared" si="27"/>
        <v>848644.67304846237</v>
      </c>
      <c r="C275" s="14">
        <f t="shared" si="28"/>
        <v>169728.93460969249</v>
      </c>
      <c r="D275" s="14"/>
      <c r="E275" s="14">
        <f t="shared" ref="E275:E338" si="29">(B275+C275+D275)*25%</f>
        <v>254593.4019145387</v>
      </c>
      <c r="F275" s="14">
        <f t="shared" ref="F275:F338" si="30">F274+SUM(B275:E275)</f>
        <v>730132242.72723949</v>
      </c>
      <c r="G275" s="1"/>
      <c r="H275" s="4">
        <v>730132242.73000002</v>
      </c>
      <c r="I275" s="7">
        <f t="shared" si="26"/>
        <v>1.7465195990577142E-3</v>
      </c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>
      <c r="A276" s="1" t="s">
        <v>319</v>
      </c>
      <c r="B276" s="14">
        <f t="shared" si="27"/>
        <v>848644.67304846237</v>
      </c>
      <c r="C276" s="14">
        <f t="shared" si="28"/>
        <v>169728.93460969249</v>
      </c>
      <c r="D276" s="14"/>
      <c r="E276" s="14">
        <f t="shared" si="29"/>
        <v>254593.4019145387</v>
      </c>
      <c r="F276" s="14">
        <f t="shared" si="30"/>
        <v>731405209.73681223</v>
      </c>
      <c r="G276" s="1"/>
      <c r="H276" s="4">
        <v>731405209.74000001</v>
      </c>
      <c r="I276" s="7">
        <f t="shared" si="26"/>
        <v>1.7434745865218947E-3</v>
      </c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>
      <c r="A277" s="1" t="s">
        <v>320</v>
      </c>
      <c r="B277" s="14">
        <f t="shared" si="27"/>
        <v>848644.67304846237</v>
      </c>
      <c r="C277" s="14">
        <f t="shared" si="28"/>
        <v>169728.93460969249</v>
      </c>
      <c r="D277" s="14"/>
      <c r="E277" s="14">
        <f t="shared" si="29"/>
        <v>254593.4019145387</v>
      </c>
      <c r="F277" s="14">
        <f t="shared" si="30"/>
        <v>732678176.74638498</v>
      </c>
      <c r="G277" s="1"/>
      <c r="H277" s="4">
        <v>732678176.75</v>
      </c>
      <c r="I277" s="7">
        <f t="shared" si="26"/>
        <v>1.7404401733103663E-3</v>
      </c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>
      <c r="A278" s="1" t="s">
        <v>321</v>
      </c>
      <c r="B278" s="14">
        <f t="shared" si="27"/>
        <v>848644.67304846237</v>
      </c>
      <c r="C278" s="14">
        <f t="shared" si="28"/>
        <v>169728.93460969249</v>
      </c>
      <c r="D278" s="14"/>
      <c r="E278" s="14">
        <f t="shared" si="29"/>
        <v>254593.4019145387</v>
      </c>
      <c r="F278" s="14">
        <f t="shared" si="30"/>
        <v>733951143.75595772</v>
      </c>
      <c r="G278" s="1"/>
      <c r="H278" s="4">
        <v>733951143.75999999</v>
      </c>
      <c r="I278" s="7">
        <f t="shared" si="26"/>
        <v>1.7374163041768125E-3</v>
      </c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>
      <c r="A279" s="1" t="s">
        <v>322</v>
      </c>
      <c r="B279" s="14">
        <f t="shared" si="27"/>
        <v>848644.67304846237</v>
      </c>
      <c r="C279" s="14">
        <f t="shared" si="28"/>
        <v>169728.93460969249</v>
      </c>
      <c r="D279" s="14"/>
      <c r="E279" s="14">
        <f t="shared" si="29"/>
        <v>254593.4019145387</v>
      </c>
      <c r="F279" s="14">
        <f t="shared" si="30"/>
        <v>735224110.76553047</v>
      </c>
      <c r="G279" s="1"/>
      <c r="H279" s="4">
        <v>735224110.76999998</v>
      </c>
      <c r="I279" s="7">
        <f t="shared" si="26"/>
        <v>1.7344029242581944E-3</v>
      </c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>
      <c r="A280" s="1" t="s">
        <v>323</v>
      </c>
      <c r="B280" s="14">
        <f t="shared" si="27"/>
        <v>848644.67304846237</v>
      </c>
      <c r="C280" s="14">
        <f t="shared" si="28"/>
        <v>169728.93460969249</v>
      </c>
      <c r="D280" s="14"/>
      <c r="E280" s="14">
        <f t="shared" si="29"/>
        <v>254593.4019145387</v>
      </c>
      <c r="F280" s="14">
        <f t="shared" si="30"/>
        <v>736497077.77510321</v>
      </c>
      <c r="G280" s="1"/>
      <c r="H280" s="4">
        <v>736497077.77999997</v>
      </c>
      <c r="I280" s="7">
        <f t="shared" si="26"/>
        <v>1.7313999790714324E-3</v>
      </c>
      <c r="J280" s="7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>
      <c r="A281" s="1" t="s">
        <v>324</v>
      </c>
      <c r="B281" s="14">
        <f t="shared" si="27"/>
        <v>848644.67304846237</v>
      </c>
      <c r="C281" s="14">
        <f t="shared" si="28"/>
        <v>169728.93460969249</v>
      </c>
      <c r="D281" s="14"/>
      <c r="E281" s="14">
        <f t="shared" si="29"/>
        <v>254593.4019145387</v>
      </c>
      <c r="F281" s="14">
        <f t="shared" si="30"/>
        <v>737770044.78467596</v>
      </c>
      <c r="G281" s="1"/>
      <c r="H281" s="4">
        <v>737770044.77999997</v>
      </c>
      <c r="I281" s="7">
        <f t="shared" si="26"/>
        <v>1.7284074009323491E-3</v>
      </c>
      <c r="J281" s="7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>
      <c r="A282" s="1" t="s">
        <v>325</v>
      </c>
      <c r="B282" s="14">
        <f>B281*(1-$J$1)</f>
        <v>814698.88612652384</v>
      </c>
      <c r="C282" s="14">
        <f t="shared" si="28"/>
        <v>162939.77722530477</v>
      </c>
      <c r="D282" s="14"/>
      <c r="E282" s="14">
        <f t="shared" si="29"/>
        <v>244409.66583795715</v>
      </c>
      <c r="F282" s="14">
        <f t="shared" si="30"/>
        <v>738992093.11386573</v>
      </c>
      <c r="G282" s="1"/>
      <c r="H282" s="4">
        <v>738992093.11000001</v>
      </c>
      <c r="I282" s="7">
        <f t="shared" si="26"/>
        <v>1.6564081703323327E-3</v>
      </c>
      <c r="J282" s="7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>
      <c r="A283" s="1" t="s">
        <v>326</v>
      </c>
      <c r="B283" s="14">
        <f t="shared" si="27"/>
        <v>814698.88612652384</v>
      </c>
      <c r="C283" s="14">
        <f t="shared" si="28"/>
        <v>162939.77722530477</v>
      </c>
      <c r="D283" s="14"/>
      <c r="E283" s="14">
        <f t="shared" si="29"/>
        <v>244409.66583795715</v>
      </c>
      <c r="F283" s="14">
        <f t="shared" si="30"/>
        <v>740214141.44305551</v>
      </c>
      <c r="G283" s="1"/>
      <c r="H283" s="4">
        <v>740214141.44000006</v>
      </c>
      <c r="I283" s="7">
        <f t="shared" si="26"/>
        <v>1.6536690194574779E-3</v>
      </c>
      <c r="J283" s="7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>
      <c r="A284" s="1" t="s">
        <v>327</v>
      </c>
      <c r="B284" s="14">
        <f t="shared" si="27"/>
        <v>814698.88612652384</v>
      </c>
      <c r="C284" s="14">
        <f t="shared" si="28"/>
        <v>162939.77722530477</v>
      </c>
      <c r="D284" s="14"/>
      <c r="E284" s="14">
        <f t="shared" si="29"/>
        <v>244409.66583795715</v>
      </c>
      <c r="F284" s="14">
        <f t="shared" si="30"/>
        <v>741436189.77224529</v>
      </c>
      <c r="G284" s="1"/>
      <c r="H284" s="4">
        <v>741436189.76999998</v>
      </c>
      <c r="I284" s="7">
        <f t="shared" si="26"/>
        <v>1.6509389129239973E-3</v>
      </c>
      <c r="J284" s="7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>
      <c r="A285" s="1" t="s">
        <v>328</v>
      </c>
      <c r="B285" s="14">
        <f t="shared" si="27"/>
        <v>814698.88612652384</v>
      </c>
      <c r="C285" s="14">
        <f t="shared" si="28"/>
        <v>162939.77722530477</v>
      </c>
      <c r="D285" s="14"/>
      <c r="E285" s="14">
        <f t="shared" si="29"/>
        <v>244409.66583795715</v>
      </c>
      <c r="F285" s="14">
        <f t="shared" si="30"/>
        <v>742658238.10143507</v>
      </c>
      <c r="G285" s="1"/>
      <c r="H285" s="4">
        <v>742658238.10000002</v>
      </c>
      <c r="I285" s="7">
        <f t="shared" si="26"/>
        <v>1.6482178060112402E-3</v>
      </c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>
      <c r="A286" s="1" t="s">
        <v>329</v>
      </c>
      <c r="B286" s="14">
        <f t="shared" si="27"/>
        <v>814698.88612652384</v>
      </c>
      <c r="C286" s="14">
        <f t="shared" si="28"/>
        <v>162939.77722530477</v>
      </c>
      <c r="D286" s="14"/>
      <c r="E286" s="14">
        <f t="shared" si="29"/>
        <v>244409.66583795715</v>
      </c>
      <c r="F286" s="14">
        <f t="shared" si="30"/>
        <v>743880286.43062484</v>
      </c>
      <c r="G286" s="1"/>
      <c r="H286" s="4">
        <v>743880286.42999995</v>
      </c>
      <c r="I286" s="7">
        <f t="shared" si="26"/>
        <v>1.6455056542917835E-3</v>
      </c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>
      <c r="A287" s="1" t="s">
        <v>330</v>
      </c>
      <c r="B287" s="14">
        <f t="shared" si="27"/>
        <v>814698.88612652384</v>
      </c>
      <c r="C287" s="14">
        <f t="shared" si="28"/>
        <v>162939.77722530477</v>
      </c>
      <c r="D287" s="14"/>
      <c r="E287" s="14">
        <f t="shared" si="29"/>
        <v>244409.66583795715</v>
      </c>
      <c r="F287" s="14">
        <f t="shared" si="30"/>
        <v>745102334.75981462</v>
      </c>
      <c r="G287" s="1"/>
      <c r="H287" s="4">
        <v>745102334.75999999</v>
      </c>
      <c r="I287" s="7">
        <f t="shared" si="26"/>
        <v>1.6428024136314293E-3</v>
      </c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>
      <c r="A288" s="1" t="s">
        <v>331</v>
      </c>
      <c r="B288" s="14">
        <f t="shared" si="27"/>
        <v>814698.88612652384</v>
      </c>
      <c r="C288" s="14">
        <f t="shared" si="28"/>
        <v>162939.77722530477</v>
      </c>
      <c r="D288" s="14"/>
      <c r="E288" s="14">
        <f t="shared" si="29"/>
        <v>244409.66583795715</v>
      </c>
      <c r="F288" s="14">
        <f t="shared" si="30"/>
        <v>746324383.0890044</v>
      </c>
      <c r="G288" s="1"/>
      <c r="H288" s="4">
        <v>746324383.09000003</v>
      </c>
      <c r="I288" s="7">
        <f t="shared" si="26"/>
        <v>1.6401080401843981E-3</v>
      </c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>
      <c r="A289" s="1" t="s">
        <v>332</v>
      </c>
      <c r="B289" s="14">
        <f t="shared" si="27"/>
        <v>814698.88612652384</v>
      </c>
      <c r="C289" s="14">
        <f t="shared" si="28"/>
        <v>162939.77722530477</v>
      </c>
      <c r="D289" s="14"/>
      <c r="E289" s="14">
        <f t="shared" si="29"/>
        <v>244409.66583795715</v>
      </c>
      <c r="F289" s="14">
        <f t="shared" si="30"/>
        <v>747546431.41819417</v>
      </c>
      <c r="G289" s="1"/>
      <c r="H289" s="4">
        <v>747546431.41999996</v>
      </c>
      <c r="I289" s="7">
        <f t="shared" ref="I289:I352" si="31">(H289-H288)/H288</f>
        <v>1.6374224903925665E-3</v>
      </c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>
      <c r="A290" s="1" t="s">
        <v>333</v>
      </c>
      <c r="B290" s="14">
        <f t="shared" si="27"/>
        <v>814698.88612652384</v>
      </c>
      <c r="C290" s="14">
        <f t="shared" si="28"/>
        <v>162939.77722530477</v>
      </c>
      <c r="D290" s="14"/>
      <c r="E290" s="14">
        <f t="shared" si="29"/>
        <v>244409.66583795715</v>
      </c>
      <c r="F290" s="14">
        <f t="shared" si="30"/>
        <v>748768479.74738395</v>
      </c>
      <c r="G290" s="1"/>
      <c r="H290" s="4">
        <v>748768479.75</v>
      </c>
      <c r="I290" s="7">
        <f t="shared" si="31"/>
        <v>1.6347457209831154E-3</v>
      </c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>
      <c r="A291" s="1" t="s">
        <v>334</v>
      </c>
      <c r="B291" s="14">
        <f t="shared" si="27"/>
        <v>814698.88612652384</v>
      </c>
      <c r="C291" s="14">
        <f t="shared" si="28"/>
        <v>162939.77722530477</v>
      </c>
      <c r="D291" s="14"/>
      <c r="E291" s="14">
        <f t="shared" si="29"/>
        <v>244409.66583795715</v>
      </c>
      <c r="F291" s="14">
        <f t="shared" si="30"/>
        <v>749990528.07657373</v>
      </c>
      <c r="G291" s="1"/>
      <c r="H291" s="4">
        <v>749990528.08000004</v>
      </c>
      <c r="I291" s="7">
        <f t="shared" si="31"/>
        <v>1.6320776889647683E-3</v>
      </c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>
      <c r="A292" s="1" t="s">
        <v>335</v>
      </c>
      <c r="B292" s="14">
        <f t="shared" si="27"/>
        <v>814698.88612652384</v>
      </c>
      <c r="C292" s="14">
        <f t="shared" si="28"/>
        <v>162939.77722530477</v>
      </c>
      <c r="D292" s="14"/>
      <c r="E292" s="14">
        <f t="shared" si="29"/>
        <v>244409.66583795715</v>
      </c>
      <c r="F292" s="14">
        <f t="shared" si="30"/>
        <v>751212576.40576351</v>
      </c>
      <c r="G292" s="1"/>
      <c r="H292" s="4">
        <v>751212576.40999997</v>
      </c>
      <c r="I292" s="7">
        <f t="shared" si="31"/>
        <v>1.6294183516269291E-3</v>
      </c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>
      <c r="A293" s="1" t="s">
        <v>336</v>
      </c>
      <c r="B293" s="14">
        <f t="shared" si="27"/>
        <v>814698.88612652384</v>
      </c>
      <c r="C293" s="14">
        <f t="shared" si="28"/>
        <v>162939.77722530477</v>
      </c>
      <c r="D293" s="14"/>
      <c r="E293" s="14">
        <f t="shared" si="29"/>
        <v>244409.66583795715</v>
      </c>
      <c r="F293" s="14">
        <f t="shared" si="30"/>
        <v>752434624.73495328</v>
      </c>
      <c r="G293" s="1"/>
      <c r="H293" s="4">
        <v>752434624.73000002</v>
      </c>
      <c r="I293" s="7">
        <f t="shared" si="31"/>
        <v>1.6267676532256E-3</v>
      </c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>
      <c r="A294" s="1" t="s">
        <v>337</v>
      </c>
      <c r="B294" s="14">
        <f>B293*(1-$J$1)</f>
        <v>782110.93068146287</v>
      </c>
      <c r="C294" s="14">
        <f t="shared" si="28"/>
        <v>156422.18613629258</v>
      </c>
      <c r="D294" s="14"/>
      <c r="E294" s="14">
        <f t="shared" si="29"/>
        <v>234633.27920443885</v>
      </c>
      <c r="F294" s="14">
        <f t="shared" si="30"/>
        <v>753607791.13097548</v>
      </c>
      <c r="G294" s="1"/>
      <c r="H294" s="4">
        <v>753607791.13</v>
      </c>
      <c r="I294" s="7">
        <f t="shared" si="31"/>
        <v>1.5591605721506363E-3</v>
      </c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>
      <c r="A295" s="1" t="s">
        <v>338</v>
      </c>
      <c r="B295" s="14">
        <f t="shared" si="27"/>
        <v>782110.93068146287</v>
      </c>
      <c r="C295" s="14">
        <f t="shared" si="28"/>
        <v>156422.18613629258</v>
      </c>
      <c r="D295" s="14"/>
      <c r="E295" s="14">
        <f t="shared" si="29"/>
        <v>234633.27920443885</v>
      </c>
      <c r="F295" s="14">
        <f t="shared" si="30"/>
        <v>754780957.52699769</v>
      </c>
      <c r="G295" s="1"/>
      <c r="H295" s="4">
        <v>754780957.52999997</v>
      </c>
      <c r="I295" s="7">
        <f t="shared" si="31"/>
        <v>1.5567333748512174E-3</v>
      </c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>
      <c r="A296" s="1" t="s">
        <v>339</v>
      </c>
      <c r="B296" s="14">
        <f t="shared" si="27"/>
        <v>782110.93068146287</v>
      </c>
      <c r="C296" s="14">
        <f t="shared" si="28"/>
        <v>156422.18613629258</v>
      </c>
      <c r="D296" s="14"/>
      <c r="E296" s="14">
        <f t="shared" si="29"/>
        <v>234633.27920443885</v>
      </c>
      <c r="F296" s="14">
        <f t="shared" si="30"/>
        <v>755954123.92301989</v>
      </c>
      <c r="G296" s="1"/>
      <c r="H296" s="4">
        <v>755954123.91999996</v>
      </c>
      <c r="I296" s="7">
        <f t="shared" si="31"/>
        <v>1.5543137095550749E-3</v>
      </c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>
      <c r="A297" s="1" t="s">
        <v>340</v>
      </c>
      <c r="B297" s="14">
        <f t="shared" si="27"/>
        <v>782110.93068146287</v>
      </c>
      <c r="C297" s="14">
        <f t="shared" si="28"/>
        <v>156422.18613629258</v>
      </c>
      <c r="D297" s="14"/>
      <c r="E297" s="14">
        <f t="shared" si="29"/>
        <v>234633.27920443885</v>
      </c>
      <c r="F297" s="14">
        <f t="shared" si="30"/>
        <v>757127290.31904209</v>
      </c>
      <c r="G297" s="1"/>
      <c r="H297" s="4">
        <v>757127290.32000005</v>
      </c>
      <c r="I297" s="7">
        <f t="shared" si="31"/>
        <v>1.5519015809010224E-3</v>
      </c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>
      <c r="A298" s="1" t="s">
        <v>341</v>
      </c>
      <c r="B298" s="14">
        <f t="shared" si="27"/>
        <v>782110.93068146287</v>
      </c>
      <c r="C298" s="14">
        <f t="shared" si="28"/>
        <v>156422.18613629258</v>
      </c>
      <c r="D298" s="14"/>
      <c r="E298" s="14">
        <f t="shared" si="29"/>
        <v>234633.27920443885</v>
      </c>
      <c r="F298" s="14">
        <f t="shared" si="30"/>
        <v>758300456.71506429</v>
      </c>
      <c r="G298" s="1"/>
      <c r="H298" s="4">
        <v>758300456.72000003</v>
      </c>
      <c r="I298" s="7">
        <f t="shared" si="31"/>
        <v>1.5494969141901318E-3</v>
      </c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>
      <c r="A299" s="1" t="s">
        <v>342</v>
      </c>
      <c r="B299" s="14">
        <f t="shared" si="27"/>
        <v>782110.93068146287</v>
      </c>
      <c r="C299" s="14">
        <f t="shared" si="28"/>
        <v>156422.18613629258</v>
      </c>
      <c r="D299" s="14"/>
      <c r="E299" s="14">
        <f t="shared" si="29"/>
        <v>234633.27920443885</v>
      </c>
      <c r="F299" s="14">
        <f t="shared" si="30"/>
        <v>759473623.11108649</v>
      </c>
      <c r="G299" s="1"/>
      <c r="H299" s="4">
        <v>759473623.11000001</v>
      </c>
      <c r="I299" s="7">
        <f t="shared" si="31"/>
        <v>1.5470996748102627E-3</v>
      </c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>
      <c r="A300" s="1" t="s">
        <v>343</v>
      </c>
      <c r="B300" s="14">
        <f t="shared" si="27"/>
        <v>782110.93068146287</v>
      </c>
      <c r="C300" s="14">
        <f t="shared" si="28"/>
        <v>156422.18613629258</v>
      </c>
      <c r="D300" s="14"/>
      <c r="E300" s="14">
        <f t="shared" si="29"/>
        <v>234633.27920443885</v>
      </c>
      <c r="F300" s="14">
        <f t="shared" si="30"/>
        <v>760646789.50710869</v>
      </c>
      <c r="G300" s="1"/>
      <c r="H300" s="4">
        <v>760646789.50999999</v>
      </c>
      <c r="I300" s="7">
        <f t="shared" si="31"/>
        <v>1.5447098678633873E-3</v>
      </c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>
      <c r="A301" s="1" t="s">
        <v>344</v>
      </c>
      <c r="B301" s="14">
        <f t="shared" si="27"/>
        <v>782110.93068146287</v>
      </c>
      <c r="C301" s="14">
        <f t="shared" si="28"/>
        <v>156422.18613629258</v>
      </c>
      <c r="D301" s="14"/>
      <c r="E301" s="14">
        <f t="shared" si="29"/>
        <v>234633.27920443885</v>
      </c>
      <c r="F301" s="14">
        <f t="shared" si="30"/>
        <v>761819955.90313089</v>
      </c>
      <c r="G301" s="1"/>
      <c r="H301" s="4">
        <v>761819955.89999998</v>
      </c>
      <c r="I301" s="7">
        <f t="shared" si="31"/>
        <v>1.542327406332348E-3</v>
      </c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>
      <c r="A302" s="1" t="s">
        <v>345</v>
      </c>
      <c r="B302" s="14">
        <f t="shared" si="27"/>
        <v>782110.93068146287</v>
      </c>
      <c r="C302" s="14">
        <f t="shared" si="28"/>
        <v>156422.18613629258</v>
      </c>
      <c r="D302" s="14"/>
      <c r="E302" s="14">
        <f t="shared" si="29"/>
        <v>234633.27920443885</v>
      </c>
      <c r="F302" s="14">
        <f t="shared" si="30"/>
        <v>762993122.29915309</v>
      </c>
      <c r="G302" s="1"/>
      <c r="H302" s="4">
        <v>762993122.29999995</v>
      </c>
      <c r="I302" s="7">
        <f t="shared" si="31"/>
        <v>1.5399523088286905E-3</v>
      </c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>
      <c r="A303" s="1" t="s">
        <v>346</v>
      </c>
      <c r="B303" s="14">
        <f t="shared" si="27"/>
        <v>782110.93068146287</v>
      </c>
      <c r="C303" s="14">
        <f t="shared" si="28"/>
        <v>156422.18613629258</v>
      </c>
      <c r="D303" s="14"/>
      <c r="E303" s="14">
        <f t="shared" si="29"/>
        <v>234633.27920443885</v>
      </c>
      <c r="F303" s="14">
        <f t="shared" si="30"/>
        <v>764166288.69517529</v>
      </c>
      <c r="G303" s="1"/>
      <c r="H303" s="4">
        <v>764166288.70000005</v>
      </c>
      <c r="I303" s="7">
        <f t="shared" si="31"/>
        <v>1.5375845020249345E-3</v>
      </c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>
      <c r="A304" s="1" t="s">
        <v>347</v>
      </c>
      <c r="B304" s="14">
        <f t="shared" si="27"/>
        <v>782110.93068146287</v>
      </c>
      <c r="C304" s="14">
        <f t="shared" si="28"/>
        <v>156422.18613629258</v>
      </c>
      <c r="D304" s="14"/>
      <c r="E304" s="14">
        <f t="shared" si="29"/>
        <v>234633.27920443885</v>
      </c>
      <c r="F304" s="14">
        <f t="shared" si="30"/>
        <v>765339455.09119749</v>
      </c>
      <c r="G304" s="1"/>
      <c r="H304" s="4">
        <v>765339455.09000003</v>
      </c>
      <c r="I304" s="7">
        <f t="shared" si="31"/>
        <v>1.535223952362223E-3</v>
      </c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>
      <c r="A305" s="1" t="s">
        <v>348</v>
      </c>
      <c r="B305" s="14">
        <f t="shared" si="27"/>
        <v>782110.93068146287</v>
      </c>
      <c r="C305" s="14">
        <f t="shared" si="28"/>
        <v>156422.18613629258</v>
      </c>
      <c r="D305" s="14"/>
      <c r="E305" s="14">
        <f t="shared" si="29"/>
        <v>234633.27920443885</v>
      </c>
      <c r="F305" s="14">
        <f t="shared" si="30"/>
        <v>766512621.48721969</v>
      </c>
      <c r="G305" s="1"/>
      <c r="H305" s="4">
        <v>766512621.49000001</v>
      </c>
      <c r="I305" s="7">
        <f t="shared" si="31"/>
        <v>1.5328706656865321E-3</v>
      </c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>
      <c r="A306" s="1" t="s">
        <v>349</v>
      </c>
      <c r="B306" s="14">
        <f>B305*(1-$J$1)</f>
        <v>750826.49345420429</v>
      </c>
      <c r="C306" s="14">
        <f t="shared" si="28"/>
        <v>150165.29869084086</v>
      </c>
      <c r="D306" s="14"/>
      <c r="E306" s="14">
        <f t="shared" si="29"/>
        <v>225247.94803626128</v>
      </c>
      <c r="F306" s="14">
        <f t="shared" si="30"/>
        <v>767638861.22740102</v>
      </c>
      <c r="G306" s="1"/>
      <c r="H306" s="4">
        <v>767638861.23000002</v>
      </c>
      <c r="I306" s="7">
        <f t="shared" si="31"/>
        <v>1.4693035814736452E-3</v>
      </c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>
      <c r="A307" s="1" t="s">
        <v>350</v>
      </c>
      <c r="B307" s="14">
        <f t="shared" si="27"/>
        <v>750826.49345420429</v>
      </c>
      <c r="C307" s="14">
        <f t="shared" si="28"/>
        <v>150165.29869084086</v>
      </c>
      <c r="D307" s="14"/>
      <c r="E307" s="14">
        <f t="shared" si="29"/>
        <v>225247.94803626128</v>
      </c>
      <c r="F307" s="14">
        <f t="shared" si="30"/>
        <v>768765100.96758235</v>
      </c>
      <c r="G307" s="1"/>
      <c r="H307" s="4">
        <v>768765100.97000003</v>
      </c>
      <c r="I307" s="7">
        <f t="shared" si="31"/>
        <v>1.4671478958157714E-3</v>
      </c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>
      <c r="A308" s="1" t="s">
        <v>351</v>
      </c>
      <c r="B308" s="14">
        <f t="shared" si="27"/>
        <v>750826.49345420429</v>
      </c>
      <c r="C308" s="14">
        <f t="shared" si="28"/>
        <v>150165.29869084086</v>
      </c>
      <c r="D308" s="14"/>
      <c r="E308" s="14">
        <f t="shared" si="29"/>
        <v>225247.94803626128</v>
      </c>
      <c r="F308" s="14">
        <f t="shared" si="30"/>
        <v>769891340.70776367</v>
      </c>
      <c r="G308" s="1"/>
      <c r="H308" s="4">
        <v>769891340.71000004</v>
      </c>
      <c r="I308" s="7">
        <f t="shared" si="31"/>
        <v>1.4649985263105218E-3</v>
      </c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>
      <c r="A309" s="1" t="s">
        <v>352</v>
      </c>
      <c r="B309" s="14">
        <f t="shared" si="27"/>
        <v>750826.49345420429</v>
      </c>
      <c r="C309" s="14">
        <f t="shared" si="28"/>
        <v>150165.29869084086</v>
      </c>
      <c r="D309" s="14"/>
      <c r="E309" s="14">
        <f t="shared" si="29"/>
        <v>225247.94803626128</v>
      </c>
      <c r="F309" s="14">
        <f t="shared" si="30"/>
        <v>771017580.447945</v>
      </c>
      <c r="G309" s="1"/>
      <c r="H309" s="4">
        <v>771017580.45000005</v>
      </c>
      <c r="I309" s="7">
        <f t="shared" si="31"/>
        <v>1.4628554452390413E-3</v>
      </c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>
      <c r="A310" s="1" t="s">
        <v>353</v>
      </c>
      <c r="B310" s="14">
        <f t="shared" si="27"/>
        <v>750826.49345420429</v>
      </c>
      <c r="C310" s="14">
        <f t="shared" si="28"/>
        <v>150165.29869084086</v>
      </c>
      <c r="D310" s="14"/>
      <c r="E310" s="14">
        <f t="shared" si="29"/>
        <v>225247.94803626128</v>
      </c>
      <c r="F310" s="14">
        <f t="shared" si="30"/>
        <v>772143820.18812633</v>
      </c>
      <c r="G310" s="1"/>
      <c r="H310" s="4">
        <v>772143820.19000006</v>
      </c>
      <c r="I310" s="7">
        <f t="shared" si="31"/>
        <v>1.4607186250444331E-3</v>
      </c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>
      <c r="A311" s="1" t="s">
        <v>354</v>
      </c>
      <c r="B311" s="14">
        <f t="shared" si="27"/>
        <v>750826.49345420429</v>
      </c>
      <c r="C311" s="14">
        <f t="shared" si="28"/>
        <v>150165.29869084086</v>
      </c>
      <c r="D311" s="14"/>
      <c r="E311" s="14">
        <f t="shared" si="29"/>
        <v>225247.94803626128</v>
      </c>
      <c r="F311" s="14">
        <f t="shared" si="30"/>
        <v>773270059.92830765</v>
      </c>
      <c r="G311" s="1"/>
      <c r="H311" s="4">
        <v>773270059.92999995</v>
      </c>
      <c r="I311" s="7">
        <f t="shared" si="31"/>
        <v>1.458588038330422E-3</v>
      </c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>
      <c r="A312" s="1" t="s">
        <v>355</v>
      </c>
      <c r="B312" s="14">
        <f t="shared" si="27"/>
        <v>750826.49345420429</v>
      </c>
      <c r="C312" s="14">
        <f t="shared" si="28"/>
        <v>150165.29869084086</v>
      </c>
      <c r="D312" s="14"/>
      <c r="E312" s="14">
        <f t="shared" si="29"/>
        <v>225247.94803626128</v>
      </c>
      <c r="F312" s="14">
        <f t="shared" si="30"/>
        <v>774396299.66848898</v>
      </c>
      <c r="G312" s="1"/>
      <c r="H312" s="4">
        <v>774396299.66999996</v>
      </c>
      <c r="I312" s="7">
        <f t="shared" si="31"/>
        <v>1.4564636578609574E-3</v>
      </c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>
      <c r="A313" s="1" t="s">
        <v>356</v>
      </c>
      <c r="B313" s="14">
        <f t="shared" si="27"/>
        <v>750826.49345420429</v>
      </c>
      <c r="C313" s="14">
        <f t="shared" si="28"/>
        <v>150165.29869084086</v>
      </c>
      <c r="D313" s="14"/>
      <c r="E313" s="14">
        <f t="shared" si="29"/>
        <v>225247.94803626128</v>
      </c>
      <c r="F313" s="14">
        <f t="shared" si="30"/>
        <v>775522539.40867031</v>
      </c>
      <c r="G313" s="1"/>
      <c r="H313" s="4">
        <v>775522539.40999997</v>
      </c>
      <c r="I313" s="7">
        <f t="shared" si="31"/>
        <v>1.4543454565575063E-3</v>
      </c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>
      <c r="A314" s="1" t="s">
        <v>357</v>
      </c>
      <c r="B314" s="14">
        <f t="shared" si="27"/>
        <v>750826.49345420429</v>
      </c>
      <c r="C314" s="14">
        <f t="shared" si="28"/>
        <v>150165.29869084086</v>
      </c>
      <c r="D314" s="14"/>
      <c r="E314" s="14">
        <f t="shared" si="29"/>
        <v>225247.94803626128</v>
      </c>
      <c r="F314" s="14">
        <f t="shared" si="30"/>
        <v>776648779.14885163</v>
      </c>
      <c r="G314" s="1"/>
      <c r="H314" s="4">
        <v>776648779.14999998</v>
      </c>
      <c r="I314" s="7">
        <f t="shared" si="31"/>
        <v>1.4522334074994485E-3</v>
      </c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>
      <c r="A315" s="1" t="s">
        <v>358</v>
      </c>
      <c r="B315" s="14">
        <f t="shared" si="27"/>
        <v>750826.49345420429</v>
      </c>
      <c r="C315" s="14">
        <f t="shared" si="28"/>
        <v>150165.29869084086</v>
      </c>
      <c r="D315" s="14"/>
      <c r="E315" s="14">
        <f t="shared" si="29"/>
        <v>225247.94803626128</v>
      </c>
      <c r="F315" s="14">
        <f t="shared" si="30"/>
        <v>777775018.88903296</v>
      </c>
      <c r="G315" s="1"/>
      <c r="H315" s="4">
        <v>777775018.88999999</v>
      </c>
      <c r="I315" s="7">
        <f t="shared" si="31"/>
        <v>1.4501274839221635E-3</v>
      </c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>
      <c r="A316" s="1" t="s">
        <v>359</v>
      </c>
      <c r="B316" s="14">
        <f t="shared" si="27"/>
        <v>750826.49345420429</v>
      </c>
      <c r="C316" s="14">
        <f t="shared" si="28"/>
        <v>150165.29869084086</v>
      </c>
      <c r="D316" s="14"/>
      <c r="E316" s="14">
        <f t="shared" si="29"/>
        <v>225247.94803626128</v>
      </c>
      <c r="F316" s="14">
        <f t="shared" si="30"/>
        <v>778901258.62921429</v>
      </c>
      <c r="G316" s="1"/>
      <c r="H316" s="4">
        <v>778901258.63</v>
      </c>
      <c r="I316" s="7">
        <f t="shared" si="31"/>
        <v>1.448027659216055E-3</v>
      </c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>
      <c r="A317" s="1" t="s">
        <v>360</v>
      </c>
      <c r="B317" s="14">
        <f t="shared" si="27"/>
        <v>750826.49345420429</v>
      </c>
      <c r="C317" s="14">
        <f t="shared" si="28"/>
        <v>150165.29869084086</v>
      </c>
      <c r="D317" s="14"/>
      <c r="E317" s="14">
        <f t="shared" si="29"/>
        <v>225247.94803626128</v>
      </c>
      <c r="F317" s="14">
        <f t="shared" si="30"/>
        <v>780027498.36939561</v>
      </c>
      <c r="G317" s="1"/>
      <c r="H317" s="4">
        <v>780027498.37</v>
      </c>
      <c r="I317" s="7">
        <f t="shared" si="31"/>
        <v>1.4459339069254286E-3</v>
      </c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>
      <c r="A318" s="1" t="s">
        <v>361</v>
      </c>
      <c r="B318" s="14">
        <f>B317*(1-$J$1)</f>
        <v>720793.43371603615</v>
      </c>
      <c r="C318" s="14">
        <f t="shared" si="28"/>
        <v>144158.68674320725</v>
      </c>
      <c r="D318" s="14"/>
      <c r="E318" s="14">
        <f t="shared" si="29"/>
        <v>216238.03011481086</v>
      </c>
      <c r="F318" s="14">
        <f t="shared" si="30"/>
        <v>781108688.5199697</v>
      </c>
      <c r="G318" s="1"/>
      <c r="H318" s="4">
        <v>781108688.51999998</v>
      </c>
      <c r="I318" s="7">
        <f t="shared" si="31"/>
        <v>1.3860923522046424E-3</v>
      </c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>
      <c r="A319" s="1" t="s">
        <v>362</v>
      </c>
      <c r="B319" s="14">
        <f t="shared" si="27"/>
        <v>720793.43371603615</v>
      </c>
      <c r="C319" s="14">
        <f t="shared" si="28"/>
        <v>144158.68674320725</v>
      </c>
      <c r="D319" s="14"/>
      <c r="E319" s="14">
        <f t="shared" si="29"/>
        <v>216238.03011481086</v>
      </c>
      <c r="F319" s="14">
        <f t="shared" si="30"/>
        <v>782189878.67054379</v>
      </c>
      <c r="G319" s="1"/>
      <c r="H319" s="4">
        <v>782189878.66999996</v>
      </c>
      <c r="I319" s="7">
        <f t="shared" si="31"/>
        <v>1.3841737595424184E-3</v>
      </c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>
      <c r="A320" s="1" t="s">
        <v>363</v>
      </c>
      <c r="B320" s="14">
        <f t="shared" ref="B320:B383" si="32">B319</f>
        <v>720793.43371603615</v>
      </c>
      <c r="C320" s="14">
        <f t="shared" si="28"/>
        <v>144158.68674320725</v>
      </c>
      <c r="D320" s="14"/>
      <c r="E320" s="14">
        <f t="shared" si="29"/>
        <v>216238.03011481086</v>
      </c>
      <c r="F320" s="14">
        <f t="shared" si="30"/>
        <v>783271068.82111788</v>
      </c>
      <c r="G320" s="1"/>
      <c r="H320" s="4">
        <v>783271068.82000005</v>
      </c>
      <c r="I320" s="7">
        <f t="shared" si="31"/>
        <v>1.38226047086994E-3</v>
      </c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>
      <c r="A321" s="1" t="s">
        <v>364</v>
      </c>
      <c r="B321" s="14">
        <f t="shared" si="32"/>
        <v>720793.43371603615</v>
      </c>
      <c r="C321" s="14">
        <f t="shared" si="28"/>
        <v>144158.68674320725</v>
      </c>
      <c r="D321" s="14"/>
      <c r="E321" s="14">
        <f t="shared" si="29"/>
        <v>216238.03011481086</v>
      </c>
      <c r="F321" s="14">
        <f t="shared" si="30"/>
        <v>784352258.97169197</v>
      </c>
      <c r="G321" s="1"/>
      <c r="H321" s="4">
        <v>784352258.97000003</v>
      </c>
      <c r="I321" s="7">
        <f t="shared" si="31"/>
        <v>1.3803524642226248E-3</v>
      </c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>
      <c r="A322" s="1" t="s">
        <v>365</v>
      </c>
      <c r="B322" s="14">
        <f t="shared" si="32"/>
        <v>720793.43371603615</v>
      </c>
      <c r="C322" s="14">
        <f t="shared" si="28"/>
        <v>144158.68674320725</v>
      </c>
      <c r="D322" s="14"/>
      <c r="E322" s="14">
        <f t="shared" si="29"/>
        <v>216238.03011481086</v>
      </c>
      <c r="F322" s="14">
        <f t="shared" si="30"/>
        <v>785433449.12226605</v>
      </c>
      <c r="G322" s="1"/>
      <c r="H322" s="4">
        <v>785433449.12</v>
      </c>
      <c r="I322" s="7">
        <f t="shared" si="31"/>
        <v>1.3784497177579105E-3</v>
      </c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>
      <c r="A323" s="1" t="s">
        <v>366</v>
      </c>
      <c r="B323" s="14">
        <f t="shared" si="32"/>
        <v>720793.43371603615</v>
      </c>
      <c r="C323" s="14">
        <f t="shared" si="28"/>
        <v>144158.68674320725</v>
      </c>
      <c r="D323" s="14"/>
      <c r="E323" s="14">
        <f t="shared" si="29"/>
        <v>216238.03011481086</v>
      </c>
      <c r="F323" s="14">
        <f t="shared" si="30"/>
        <v>786514639.27284014</v>
      </c>
      <c r="G323" s="1"/>
      <c r="H323" s="4">
        <v>786514639.26999998</v>
      </c>
      <c r="I323" s="7">
        <f t="shared" si="31"/>
        <v>1.3765522097528976E-3</v>
      </c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>
      <c r="A324" s="1" t="s">
        <v>367</v>
      </c>
      <c r="B324" s="14">
        <f t="shared" si="32"/>
        <v>720793.43371603615</v>
      </c>
      <c r="C324" s="14">
        <f t="shared" si="28"/>
        <v>144158.68674320725</v>
      </c>
      <c r="D324" s="14"/>
      <c r="E324" s="14">
        <f t="shared" si="29"/>
        <v>216238.03011481086</v>
      </c>
      <c r="F324" s="14">
        <f t="shared" si="30"/>
        <v>787595829.42341423</v>
      </c>
      <c r="G324" s="1"/>
      <c r="H324" s="4">
        <v>787595829.41999996</v>
      </c>
      <c r="I324" s="7">
        <f t="shared" si="31"/>
        <v>1.3746599186042843E-3</v>
      </c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>
      <c r="A325" s="1" t="s">
        <v>368</v>
      </c>
      <c r="B325" s="14">
        <f t="shared" si="32"/>
        <v>720793.43371603615</v>
      </c>
      <c r="C325" s="14">
        <f t="shared" si="28"/>
        <v>144158.68674320725</v>
      </c>
      <c r="D325" s="14"/>
      <c r="E325" s="14">
        <f t="shared" si="29"/>
        <v>216238.03011481086</v>
      </c>
      <c r="F325" s="14">
        <f t="shared" si="30"/>
        <v>788677019.57398832</v>
      </c>
      <c r="G325" s="1"/>
      <c r="H325" s="4">
        <v>788677019.57000005</v>
      </c>
      <c r="I325" s="7">
        <f t="shared" si="31"/>
        <v>1.3727728228275454E-3</v>
      </c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>
      <c r="A326" s="1" t="s">
        <v>369</v>
      </c>
      <c r="B326" s="14">
        <f t="shared" si="32"/>
        <v>720793.43371603615</v>
      </c>
      <c r="C326" s="14">
        <f t="shared" si="28"/>
        <v>144158.68674320725</v>
      </c>
      <c r="D326" s="14"/>
      <c r="E326" s="14">
        <f t="shared" si="29"/>
        <v>216238.03011481086</v>
      </c>
      <c r="F326" s="14">
        <f t="shared" si="30"/>
        <v>789758209.72456241</v>
      </c>
      <c r="G326" s="1"/>
      <c r="H326" s="4">
        <v>789758209.72000003</v>
      </c>
      <c r="I326" s="7">
        <f t="shared" si="31"/>
        <v>1.3708909010553638E-3</v>
      </c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>
      <c r="A327" s="1" t="s">
        <v>370</v>
      </c>
      <c r="B327" s="14">
        <f t="shared" si="32"/>
        <v>720793.43371603615</v>
      </c>
      <c r="C327" s="14">
        <f t="shared" si="28"/>
        <v>144158.68674320725</v>
      </c>
      <c r="D327" s="14"/>
      <c r="E327" s="14">
        <f t="shared" si="29"/>
        <v>216238.03011481086</v>
      </c>
      <c r="F327" s="14">
        <f t="shared" si="30"/>
        <v>790839399.87513649</v>
      </c>
      <c r="G327" s="1"/>
      <c r="H327" s="4">
        <v>790839399.88</v>
      </c>
      <c r="I327" s="7">
        <f t="shared" si="31"/>
        <v>1.3690141447004274E-3</v>
      </c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>
      <c r="A328" s="1" t="s">
        <v>371</v>
      </c>
      <c r="B328" s="14">
        <f t="shared" si="32"/>
        <v>720793.43371603615</v>
      </c>
      <c r="C328" s="14">
        <f t="shared" si="28"/>
        <v>144158.68674320725</v>
      </c>
      <c r="D328" s="14"/>
      <c r="E328" s="14">
        <f t="shared" si="29"/>
        <v>216238.03011481086</v>
      </c>
      <c r="F328" s="14">
        <f t="shared" si="30"/>
        <v>791920590.02571058</v>
      </c>
      <c r="G328" s="1"/>
      <c r="H328" s="4">
        <v>791920590.02999997</v>
      </c>
      <c r="I328" s="7">
        <f t="shared" si="31"/>
        <v>1.367142494625373E-3</v>
      </c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>
      <c r="A329" s="1" t="s">
        <v>372</v>
      </c>
      <c r="B329" s="14">
        <f t="shared" si="32"/>
        <v>720793.43371603615</v>
      </c>
      <c r="C329" s="14">
        <f t="shared" si="28"/>
        <v>144158.68674320725</v>
      </c>
      <c r="D329" s="14"/>
      <c r="E329" s="14">
        <f t="shared" si="29"/>
        <v>216238.03011481086</v>
      </c>
      <c r="F329" s="14">
        <f t="shared" si="30"/>
        <v>793001780.17628467</v>
      </c>
      <c r="G329" s="1"/>
      <c r="H329" s="4">
        <v>793001780.17999995</v>
      </c>
      <c r="I329" s="7">
        <f t="shared" si="31"/>
        <v>1.3652759678328579E-3</v>
      </c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>
      <c r="A330" s="1" t="s">
        <v>373</v>
      </c>
      <c r="B330" s="14">
        <f>B329*(1-$J$1)</f>
        <v>691961.69636739464</v>
      </c>
      <c r="C330" s="14">
        <f t="shared" si="28"/>
        <v>138392.33927347892</v>
      </c>
      <c r="D330" s="14"/>
      <c r="E330" s="14">
        <f t="shared" si="29"/>
        <v>207588.5089102184</v>
      </c>
      <c r="F330" s="14">
        <f t="shared" si="30"/>
        <v>794039722.7208358</v>
      </c>
      <c r="G330" s="1"/>
      <c r="H330" s="4">
        <v>794039722.72000003</v>
      </c>
      <c r="I330" s="7">
        <f t="shared" si="31"/>
        <v>1.3088779444662571E-3</v>
      </c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>
      <c r="A331" s="1" t="s">
        <v>374</v>
      </c>
      <c r="B331" s="14">
        <f t="shared" si="32"/>
        <v>691961.69636739464</v>
      </c>
      <c r="C331" s="14">
        <f t="shared" si="28"/>
        <v>138392.33927347892</v>
      </c>
      <c r="D331" s="14"/>
      <c r="E331" s="14">
        <f t="shared" si="29"/>
        <v>207588.5089102184</v>
      </c>
      <c r="F331" s="14">
        <f t="shared" si="30"/>
        <v>795077665.26538694</v>
      </c>
      <c r="G331" s="1"/>
      <c r="H331" s="4">
        <v>795077665.26999998</v>
      </c>
      <c r="I331" s="7">
        <f t="shared" si="31"/>
        <v>1.3071670349745954E-3</v>
      </c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>
      <c r="A332" s="1" t="s">
        <v>375</v>
      </c>
      <c r="B332" s="14">
        <f t="shared" si="32"/>
        <v>691961.69636739464</v>
      </c>
      <c r="C332" s="14">
        <f t="shared" si="28"/>
        <v>138392.33927347892</v>
      </c>
      <c r="D332" s="14"/>
      <c r="E332" s="14">
        <f t="shared" si="29"/>
        <v>207588.5089102184</v>
      </c>
      <c r="F332" s="14">
        <f t="shared" si="30"/>
        <v>796115607.80993807</v>
      </c>
      <c r="G332" s="1"/>
      <c r="H332" s="4">
        <v>796115607.80999994</v>
      </c>
      <c r="I332" s="7">
        <f t="shared" si="31"/>
        <v>1.3054605673616646E-3</v>
      </c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>
      <c r="A333" s="1" t="s">
        <v>376</v>
      </c>
      <c r="B333" s="14">
        <f t="shared" si="32"/>
        <v>691961.69636739464</v>
      </c>
      <c r="C333" s="14">
        <f t="shared" ref="C333:C396" si="33">B333*$H$6</f>
        <v>138392.33927347892</v>
      </c>
      <c r="D333" s="14"/>
      <c r="E333" s="14">
        <f t="shared" si="29"/>
        <v>207588.5089102184</v>
      </c>
      <c r="F333" s="14">
        <f t="shared" si="30"/>
        <v>797153550.35448921</v>
      </c>
      <c r="G333" s="1"/>
      <c r="H333" s="4">
        <v>797153550.35000002</v>
      </c>
      <c r="I333" s="7">
        <f t="shared" si="31"/>
        <v>1.3037585619698029E-3</v>
      </c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>
      <c r="A334" s="1" t="s">
        <v>377</v>
      </c>
      <c r="B334" s="14">
        <f t="shared" si="32"/>
        <v>691961.69636739464</v>
      </c>
      <c r="C334" s="14">
        <f t="shared" si="33"/>
        <v>138392.33927347892</v>
      </c>
      <c r="D334" s="14"/>
      <c r="E334" s="14">
        <f t="shared" si="29"/>
        <v>207588.5089102184</v>
      </c>
      <c r="F334" s="14">
        <f t="shared" si="30"/>
        <v>798191492.89904034</v>
      </c>
      <c r="G334" s="1"/>
      <c r="H334" s="4">
        <v>798191492.89999998</v>
      </c>
      <c r="I334" s="7">
        <f t="shared" si="31"/>
        <v>1.3020610013519114E-3</v>
      </c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>
      <c r="A335" s="1" t="s">
        <v>378</v>
      </c>
      <c r="B335" s="14">
        <f t="shared" si="32"/>
        <v>691961.69636739464</v>
      </c>
      <c r="C335" s="14">
        <f t="shared" si="33"/>
        <v>138392.33927347892</v>
      </c>
      <c r="D335" s="14"/>
      <c r="E335" s="14">
        <f t="shared" si="29"/>
        <v>207588.5089102184</v>
      </c>
      <c r="F335" s="14">
        <f t="shared" si="30"/>
        <v>799229435.44359148</v>
      </c>
      <c r="G335" s="1"/>
      <c r="H335" s="4">
        <v>799229435.44000006</v>
      </c>
      <c r="I335" s="7">
        <f t="shared" si="31"/>
        <v>1.3003678305678432E-3</v>
      </c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>
      <c r="A336" s="1" t="s">
        <v>379</v>
      </c>
      <c r="B336" s="14">
        <f t="shared" si="32"/>
        <v>691961.69636739464</v>
      </c>
      <c r="C336" s="14">
        <f t="shared" si="33"/>
        <v>138392.33927347892</v>
      </c>
      <c r="D336" s="14"/>
      <c r="E336" s="14">
        <f t="shared" si="29"/>
        <v>207588.5089102184</v>
      </c>
      <c r="F336" s="14">
        <f t="shared" si="30"/>
        <v>800267377.98814261</v>
      </c>
      <c r="G336" s="1"/>
      <c r="H336" s="4">
        <v>800267377.99000001</v>
      </c>
      <c r="I336" s="7">
        <f t="shared" si="31"/>
        <v>1.2986790825947664E-3</v>
      </c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>
      <c r="A337" s="1" t="s">
        <v>380</v>
      </c>
      <c r="B337" s="14">
        <f t="shared" si="32"/>
        <v>691961.69636739464</v>
      </c>
      <c r="C337" s="14">
        <f t="shared" si="33"/>
        <v>138392.33927347892</v>
      </c>
      <c r="D337" s="14"/>
      <c r="E337" s="14">
        <f t="shared" si="29"/>
        <v>207588.5089102184</v>
      </c>
      <c r="F337" s="14">
        <f t="shared" si="30"/>
        <v>801305320.53269374</v>
      </c>
      <c r="G337" s="1"/>
      <c r="H337" s="4">
        <v>801305320.52999997</v>
      </c>
      <c r="I337" s="7">
        <f t="shared" si="31"/>
        <v>1.2969946902083166E-3</v>
      </c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>
      <c r="A338" s="1" t="s">
        <v>381</v>
      </c>
      <c r="B338" s="14">
        <f t="shared" si="32"/>
        <v>691961.69636739464</v>
      </c>
      <c r="C338" s="14">
        <f t="shared" si="33"/>
        <v>138392.33927347892</v>
      </c>
      <c r="D338" s="14"/>
      <c r="E338" s="14">
        <f t="shared" si="29"/>
        <v>207588.5089102184</v>
      </c>
      <c r="F338" s="14">
        <f t="shared" si="30"/>
        <v>802343263.07724488</v>
      </c>
      <c r="G338" s="1"/>
      <c r="H338" s="4">
        <v>802343263.08000004</v>
      </c>
      <c r="I338" s="7">
        <f t="shared" si="31"/>
        <v>1.2953146864338237E-3</v>
      </c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>
      <c r="A339" s="1" t="s">
        <v>382</v>
      </c>
      <c r="B339" s="14">
        <f t="shared" si="32"/>
        <v>691961.69636739464</v>
      </c>
      <c r="C339" s="14">
        <f t="shared" si="33"/>
        <v>138392.33927347892</v>
      </c>
      <c r="D339" s="14"/>
      <c r="E339" s="14">
        <f t="shared" ref="E339:E402" si="34">(B339+C339+D339)*25%</f>
        <v>207588.5089102184</v>
      </c>
      <c r="F339" s="14">
        <f t="shared" ref="F339:F402" si="35">F338+SUM(B339:E339)</f>
        <v>803381205.62179601</v>
      </c>
      <c r="G339" s="1"/>
      <c r="H339" s="4">
        <v>803381205.62</v>
      </c>
      <c r="I339" s="7">
        <f t="shared" si="31"/>
        <v>1.2936390043527676E-3</v>
      </c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>
      <c r="A340" s="1" t="s">
        <v>383</v>
      </c>
      <c r="B340" s="14">
        <f t="shared" si="32"/>
        <v>691961.69636739464</v>
      </c>
      <c r="C340" s="14">
        <f t="shared" si="33"/>
        <v>138392.33927347892</v>
      </c>
      <c r="D340" s="14"/>
      <c r="E340" s="14">
        <f t="shared" si="34"/>
        <v>207588.5089102184</v>
      </c>
      <c r="F340" s="14">
        <f t="shared" si="35"/>
        <v>804419148.16634715</v>
      </c>
      <c r="G340" s="1"/>
      <c r="H340" s="4">
        <v>804419148.16999996</v>
      </c>
      <c r="I340" s="7">
        <f t="shared" si="31"/>
        <v>1.2919676770368712E-3</v>
      </c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>
      <c r="A341" s="1" t="s">
        <v>384</v>
      </c>
      <c r="B341" s="14">
        <f t="shared" si="32"/>
        <v>691961.69636739464</v>
      </c>
      <c r="C341" s="14">
        <f t="shared" si="33"/>
        <v>138392.33927347892</v>
      </c>
      <c r="D341" s="14"/>
      <c r="E341" s="14">
        <f t="shared" si="34"/>
        <v>207588.5089102184</v>
      </c>
      <c r="F341" s="14">
        <f t="shared" si="35"/>
        <v>805457090.71089828</v>
      </c>
      <c r="G341" s="1"/>
      <c r="H341" s="4">
        <v>805457090.71000004</v>
      </c>
      <c r="I341" s="7">
        <f t="shared" si="31"/>
        <v>1.2903006378718498E-3</v>
      </c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>
      <c r="A342" s="1" t="s">
        <v>385</v>
      </c>
      <c r="B342" s="14">
        <f>B341*(1-$J$1)</f>
        <v>664283.22851269878</v>
      </c>
      <c r="C342" s="14">
        <f t="shared" si="33"/>
        <v>132856.64570253977</v>
      </c>
      <c r="D342" s="14"/>
      <c r="E342" s="14">
        <f t="shared" si="34"/>
        <v>199284.96855380962</v>
      </c>
      <c r="F342" s="14">
        <f t="shared" si="35"/>
        <v>806453515.55366731</v>
      </c>
      <c r="G342" s="1"/>
      <c r="H342" s="4">
        <v>806453515.54999995</v>
      </c>
      <c r="I342" s="7">
        <f t="shared" si="31"/>
        <v>1.2370923932416792E-3</v>
      </c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>
      <c r="A343" s="1" t="s">
        <v>386</v>
      </c>
      <c r="B343" s="14">
        <f t="shared" si="32"/>
        <v>664283.22851269878</v>
      </c>
      <c r="C343" s="14">
        <f t="shared" si="33"/>
        <v>132856.64570253977</v>
      </c>
      <c r="D343" s="14"/>
      <c r="E343" s="14">
        <f t="shared" si="34"/>
        <v>199284.96855380962</v>
      </c>
      <c r="F343" s="14">
        <f t="shared" si="35"/>
        <v>807449940.39643633</v>
      </c>
      <c r="G343" s="1"/>
      <c r="H343" s="4">
        <v>807449940.39999998</v>
      </c>
      <c r="I343" s="7">
        <f t="shared" si="31"/>
        <v>1.235563898956363E-3</v>
      </c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>
      <c r="A344" s="1" t="s">
        <v>387</v>
      </c>
      <c r="B344" s="14">
        <f t="shared" si="32"/>
        <v>664283.22851269878</v>
      </c>
      <c r="C344" s="14">
        <f t="shared" si="33"/>
        <v>132856.64570253977</v>
      </c>
      <c r="D344" s="14"/>
      <c r="E344" s="14">
        <f t="shared" si="34"/>
        <v>199284.96855380962</v>
      </c>
      <c r="F344" s="14">
        <f t="shared" si="35"/>
        <v>808446365.23920536</v>
      </c>
      <c r="G344" s="1"/>
      <c r="H344" s="4">
        <v>808446365.24000001</v>
      </c>
      <c r="I344" s="7">
        <f t="shared" si="31"/>
        <v>1.2340391523298865E-3</v>
      </c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>
      <c r="A345" s="1" t="s">
        <v>388</v>
      </c>
      <c r="B345" s="14">
        <f t="shared" si="32"/>
        <v>664283.22851269878</v>
      </c>
      <c r="C345" s="14">
        <f t="shared" si="33"/>
        <v>132856.64570253977</v>
      </c>
      <c r="D345" s="14"/>
      <c r="E345" s="14">
        <f t="shared" si="34"/>
        <v>199284.96855380962</v>
      </c>
      <c r="F345" s="14">
        <f t="shared" si="35"/>
        <v>809442790.08197439</v>
      </c>
      <c r="G345" s="1"/>
      <c r="H345" s="4">
        <v>809442790.08000004</v>
      </c>
      <c r="I345" s="7">
        <f t="shared" si="31"/>
        <v>1.2325181766439496E-3</v>
      </c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>
      <c r="A346" s="1" t="s">
        <v>389</v>
      </c>
      <c r="B346" s="14">
        <f t="shared" si="32"/>
        <v>664283.22851269878</v>
      </c>
      <c r="C346" s="14">
        <f t="shared" si="33"/>
        <v>132856.64570253977</v>
      </c>
      <c r="D346" s="14"/>
      <c r="E346" s="14">
        <f t="shared" si="34"/>
        <v>199284.96855380962</v>
      </c>
      <c r="F346" s="14">
        <f t="shared" si="35"/>
        <v>810439214.92474341</v>
      </c>
      <c r="G346" s="1"/>
      <c r="H346" s="4">
        <v>810439214.91999996</v>
      </c>
      <c r="I346" s="7">
        <f t="shared" si="31"/>
        <v>1.2310009456028808E-3</v>
      </c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>
      <c r="A347" s="1" t="s">
        <v>390</v>
      </c>
      <c r="B347" s="14">
        <f t="shared" si="32"/>
        <v>664283.22851269878</v>
      </c>
      <c r="C347" s="14">
        <f t="shared" si="33"/>
        <v>132856.64570253977</v>
      </c>
      <c r="D347" s="14"/>
      <c r="E347" s="14">
        <f t="shared" si="34"/>
        <v>199284.96855380962</v>
      </c>
      <c r="F347" s="14">
        <f t="shared" si="35"/>
        <v>811435639.76751244</v>
      </c>
      <c r="G347" s="1"/>
      <c r="H347" s="4">
        <v>811435639.76999998</v>
      </c>
      <c r="I347" s="7">
        <f t="shared" si="31"/>
        <v>1.2294874577341163E-3</v>
      </c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>
      <c r="A348" s="1" t="s">
        <v>391</v>
      </c>
      <c r="B348" s="14">
        <f t="shared" si="32"/>
        <v>664283.22851269878</v>
      </c>
      <c r="C348" s="14">
        <f t="shared" si="33"/>
        <v>132856.64570253977</v>
      </c>
      <c r="D348" s="14"/>
      <c r="E348" s="14">
        <f t="shared" si="34"/>
        <v>199284.96855380962</v>
      </c>
      <c r="F348" s="14">
        <f t="shared" si="35"/>
        <v>812432064.61028147</v>
      </c>
      <c r="G348" s="1"/>
      <c r="H348" s="4">
        <v>812432064.61000001</v>
      </c>
      <c r="I348" s="7">
        <f t="shared" si="31"/>
        <v>1.2279776622610122E-3</v>
      </c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>
      <c r="A349" s="1" t="s">
        <v>392</v>
      </c>
      <c r="B349" s="14">
        <f t="shared" si="32"/>
        <v>664283.22851269878</v>
      </c>
      <c r="C349" s="14">
        <f t="shared" si="33"/>
        <v>132856.64570253977</v>
      </c>
      <c r="D349" s="14"/>
      <c r="E349" s="14">
        <f t="shared" si="34"/>
        <v>199284.96855380962</v>
      </c>
      <c r="F349" s="14">
        <f t="shared" si="35"/>
        <v>813428489.45305049</v>
      </c>
      <c r="G349" s="1"/>
      <c r="H349" s="4">
        <v>813428489.45000005</v>
      </c>
      <c r="I349" s="7">
        <f t="shared" si="31"/>
        <v>1.2264715825542377E-3</v>
      </c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>
      <c r="A350" s="1" t="s">
        <v>393</v>
      </c>
      <c r="B350" s="14">
        <f t="shared" si="32"/>
        <v>664283.22851269878</v>
      </c>
      <c r="C350" s="14">
        <f t="shared" si="33"/>
        <v>132856.64570253977</v>
      </c>
      <c r="D350" s="14"/>
      <c r="E350" s="14">
        <f t="shared" si="34"/>
        <v>199284.96855380962</v>
      </c>
      <c r="F350" s="14">
        <f t="shared" si="35"/>
        <v>814424914.29581952</v>
      </c>
      <c r="G350" s="1"/>
      <c r="H350" s="4">
        <v>814424914.29999995</v>
      </c>
      <c r="I350" s="7">
        <f t="shared" si="31"/>
        <v>1.2249692049434335E-3</v>
      </c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>
      <c r="A351" s="1" t="s">
        <v>394</v>
      </c>
      <c r="B351" s="14">
        <f t="shared" si="32"/>
        <v>664283.22851269878</v>
      </c>
      <c r="C351" s="14">
        <f t="shared" si="33"/>
        <v>132856.64570253977</v>
      </c>
      <c r="D351" s="14"/>
      <c r="E351" s="14">
        <f t="shared" si="34"/>
        <v>199284.96855380962</v>
      </c>
      <c r="F351" s="14">
        <f t="shared" si="35"/>
        <v>815421339.13858855</v>
      </c>
      <c r="G351" s="1"/>
      <c r="H351" s="4">
        <v>815421339.13999999</v>
      </c>
      <c r="I351" s="7">
        <f t="shared" si="31"/>
        <v>1.2234704789900279E-3</v>
      </c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>
      <c r="A352" s="1" t="s">
        <v>395</v>
      </c>
      <c r="B352" s="14">
        <f t="shared" si="32"/>
        <v>664283.22851269878</v>
      </c>
      <c r="C352" s="14">
        <f t="shared" si="33"/>
        <v>132856.64570253977</v>
      </c>
      <c r="D352" s="14"/>
      <c r="E352" s="14">
        <f t="shared" si="34"/>
        <v>199284.96855380962</v>
      </c>
      <c r="F352" s="14">
        <f t="shared" si="35"/>
        <v>816417763.98135757</v>
      </c>
      <c r="G352" s="1"/>
      <c r="H352" s="4">
        <v>816417763.98000002</v>
      </c>
      <c r="I352" s="7">
        <f t="shared" si="31"/>
        <v>1.2219754281276626E-3</v>
      </c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>
      <c r="A353" s="1" t="s">
        <v>396</v>
      </c>
      <c r="B353" s="14">
        <f t="shared" si="32"/>
        <v>664283.22851269878</v>
      </c>
      <c r="C353" s="14">
        <f t="shared" si="33"/>
        <v>132856.64570253977</v>
      </c>
      <c r="D353" s="14"/>
      <c r="E353" s="14">
        <f t="shared" si="34"/>
        <v>199284.96855380962</v>
      </c>
      <c r="F353" s="14">
        <f t="shared" si="35"/>
        <v>817414188.8241266</v>
      </c>
      <c r="G353" s="1"/>
      <c r="H353" s="4">
        <v>817414188.82000005</v>
      </c>
      <c r="I353" s="7">
        <f t="shared" ref="I353:I416" si="36">(H353-H352)/H352</f>
        <v>1.2204840266366902E-3</v>
      </c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>
      <c r="A354" s="1" t="s">
        <v>397</v>
      </c>
      <c r="B354" s="14">
        <f>B353*(1-$J$1)</f>
        <v>637711.89937219082</v>
      </c>
      <c r="C354" s="14">
        <f t="shared" si="33"/>
        <v>127542.37987443816</v>
      </c>
      <c r="D354" s="14"/>
      <c r="E354" s="14">
        <f t="shared" si="34"/>
        <v>191313.56981165725</v>
      </c>
      <c r="F354" s="14">
        <f t="shared" si="35"/>
        <v>818370756.67318487</v>
      </c>
      <c r="G354" s="1"/>
      <c r="H354" s="4">
        <v>818370756.66999996</v>
      </c>
      <c r="I354" s="7">
        <f t="shared" si="36"/>
        <v>1.1702364151285208E-3</v>
      </c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>
      <c r="A355" s="1" t="s">
        <v>398</v>
      </c>
      <c r="B355" s="14">
        <f t="shared" si="32"/>
        <v>637711.89937219082</v>
      </c>
      <c r="C355" s="14">
        <f t="shared" si="33"/>
        <v>127542.37987443816</v>
      </c>
      <c r="D355" s="14"/>
      <c r="E355" s="14">
        <f t="shared" si="34"/>
        <v>191313.56981165725</v>
      </c>
      <c r="F355" s="14">
        <f t="shared" si="35"/>
        <v>819327324.52224314</v>
      </c>
      <c r="G355" s="1"/>
      <c r="H355" s="4">
        <v>819327324.51999998</v>
      </c>
      <c r="I355" s="7">
        <f t="shared" si="36"/>
        <v>1.1688685625722457E-3</v>
      </c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>
      <c r="A356" s="1" t="s">
        <v>399</v>
      </c>
      <c r="B356" s="14">
        <f t="shared" si="32"/>
        <v>637711.89937219082</v>
      </c>
      <c r="C356" s="14">
        <f t="shared" si="33"/>
        <v>127542.37987443816</v>
      </c>
      <c r="D356" s="14"/>
      <c r="E356" s="14">
        <f t="shared" si="34"/>
        <v>191313.56981165725</v>
      </c>
      <c r="F356" s="14">
        <f t="shared" si="35"/>
        <v>820283892.37130141</v>
      </c>
      <c r="G356" s="1"/>
      <c r="H356" s="4">
        <v>820283892.37</v>
      </c>
      <c r="I356" s="7">
        <f t="shared" si="36"/>
        <v>1.1675039039622237E-3</v>
      </c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>
      <c r="A357" s="1" t="s">
        <v>400</v>
      </c>
      <c r="B357" s="14">
        <f t="shared" si="32"/>
        <v>637711.89937219082</v>
      </c>
      <c r="C357" s="14">
        <f t="shared" si="33"/>
        <v>127542.37987443816</v>
      </c>
      <c r="D357" s="14"/>
      <c r="E357" s="14">
        <f t="shared" si="34"/>
        <v>191313.56981165725</v>
      </c>
      <c r="F357" s="14">
        <f t="shared" si="35"/>
        <v>821240460.22035968</v>
      </c>
      <c r="G357" s="1"/>
      <c r="H357" s="4">
        <v>821240460.22000003</v>
      </c>
      <c r="I357" s="7">
        <f t="shared" si="36"/>
        <v>1.1661424281248121E-3</v>
      </c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>
      <c r="A358" s="1" t="s">
        <v>401</v>
      </c>
      <c r="B358" s="14">
        <f t="shared" si="32"/>
        <v>637711.89937219082</v>
      </c>
      <c r="C358" s="14">
        <f t="shared" si="33"/>
        <v>127542.37987443816</v>
      </c>
      <c r="D358" s="14"/>
      <c r="E358" s="14">
        <f t="shared" si="34"/>
        <v>191313.56981165725</v>
      </c>
      <c r="F358" s="14">
        <f t="shared" si="35"/>
        <v>822197028.06941795</v>
      </c>
      <c r="G358" s="1"/>
      <c r="H358" s="4">
        <v>822197028.07000005</v>
      </c>
      <c r="I358" s="7">
        <f t="shared" si="36"/>
        <v>1.1647841239382814E-3</v>
      </c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>
      <c r="A359" s="1" t="s">
        <v>402</v>
      </c>
      <c r="B359" s="14">
        <f t="shared" si="32"/>
        <v>637711.89937219082</v>
      </c>
      <c r="C359" s="14">
        <f t="shared" si="33"/>
        <v>127542.37987443816</v>
      </c>
      <c r="D359" s="14"/>
      <c r="E359" s="14">
        <f t="shared" si="34"/>
        <v>191313.56981165725</v>
      </c>
      <c r="F359" s="14">
        <f t="shared" si="35"/>
        <v>823153595.91847622</v>
      </c>
      <c r="G359" s="1"/>
      <c r="H359" s="4">
        <v>823153595.91999996</v>
      </c>
      <c r="I359" s="7">
        <f t="shared" si="36"/>
        <v>1.1634289803325152E-3</v>
      </c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>
      <c r="A360" s="1" t="s">
        <v>403</v>
      </c>
      <c r="B360" s="14">
        <f t="shared" si="32"/>
        <v>637711.89937219082</v>
      </c>
      <c r="C360" s="14">
        <f t="shared" si="33"/>
        <v>127542.37987443816</v>
      </c>
      <c r="D360" s="14"/>
      <c r="E360" s="14">
        <f t="shared" si="34"/>
        <v>191313.56981165725</v>
      </c>
      <c r="F360" s="14">
        <f t="shared" si="35"/>
        <v>824110163.76753449</v>
      </c>
      <c r="G360" s="1"/>
      <c r="H360" s="4">
        <v>824110163.76999998</v>
      </c>
      <c r="I360" s="7">
        <f t="shared" si="36"/>
        <v>1.1620769862894338E-3</v>
      </c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>
      <c r="A361" s="1" t="s">
        <v>404</v>
      </c>
      <c r="B361" s="14">
        <f t="shared" si="32"/>
        <v>637711.89937219082</v>
      </c>
      <c r="C361" s="14">
        <f t="shared" si="33"/>
        <v>127542.37987443816</v>
      </c>
      <c r="D361" s="14"/>
      <c r="E361" s="14">
        <f t="shared" si="34"/>
        <v>191313.56981165725</v>
      </c>
      <c r="F361" s="14">
        <f t="shared" si="35"/>
        <v>825066731.61659276</v>
      </c>
      <c r="G361" s="1"/>
      <c r="H361" s="4">
        <v>825066731.62</v>
      </c>
      <c r="I361" s="7">
        <f t="shared" si="36"/>
        <v>1.1607281308412443E-3</v>
      </c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>
      <c r="A362" s="1" t="s">
        <v>405</v>
      </c>
      <c r="B362" s="14">
        <f t="shared" si="32"/>
        <v>637711.89937219082</v>
      </c>
      <c r="C362" s="14">
        <f t="shared" si="33"/>
        <v>127542.37987443816</v>
      </c>
      <c r="D362" s="14"/>
      <c r="E362" s="14">
        <f t="shared" si="34"/>
        <v>191313.56981165725</v>
      </c>
      <c r="F362" s="14">
        <f t="shared" si="35"/>
        <v>826023299.46565104</v>
      </c>
      <c r="G362" s="1"/>
      <c r="H362" s="4">
        <v>826023299.47000003</v>
      </c>
      <c r="I362" s="7">
        <f t="shared" si="36"/>
        <v>1.1593824030715967E-3</v>
      </c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>
      <c r="A363" s="1" t="s">
        <v>406</v>
      </c>
      <c r="B363" s="14">
        <f t="shared" si="32"/>
        <v>637711.89937219082</v>
      </c>
      <c r="C363" s="14">
        <f t="shared" si="33"/>
        <v>127542.37987443816</v>
      </c>
      <c r="D363" s="14"/>
      <c r="E363" s="14">
        <f t="shared" si="34"/>
        <v>191313.56981165725</v>
      </c>
      <c r="F363" s="14">
        <f t="shared" si="35"/>
        <v>826979867.31470931</v>
      </c>
      <c r="G363" s="1"/>
      <c r="H363" s="4">
        <v>826979867.30999994</v>
      </c>
      <c r="I363" s="7">
        <f t="shared" si="36"/>
        <v>1.1580397800082336E-3</v>
      </c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>
      <c r="A364" s="1" t="s">
        <v>407</v>
      </c>
      <c r="B364" s="14">
        <f t="shared" si="32"/>
        <v>637711.89937219082</v>
      </c>
      <c r="C364" s="14">
        <f t="shared" si="33"/>
        <v>127542.37987443816</v>
      </c>
      <c r="D364" s="14"/>
      <c r="E364" s="14">
        <f t="shared" si="34"/>
        <v>191313.56981165725</v>
      </c>
      <c r="F364" s="14">
        <f t="shared" si="35"/>
        <v>827936435.16376758</v>
      </c>
      <c r="G364" s="1"/>
      <c r="H364" s="4">
        <v>827936435.15999997</v>
      </c>
      <c r="I364" s="7">
        <f t="shared" si="36"/>
        <v>1.1567002871684744E-3</v>
      </c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>
      <c r="A365" s="1" t="s">
        <v>408</v>
      </c>
      <c r="B365" s="14">
        <f t="shared" si="32"/>
        <v>637711.89937219082</v>
      </c>
      <c r="C365" s="14">
        <f t="shared" si="33"/>
        <v>127542.37987443816</v>
      </c>
      <c r="D365" s="14"/>
      <c r="E365" s="14">
        <f t="shared" si="34"/>
        <v>191313.56981165725</v>
      </c>
      <c r="F365" s="14">
        <f t="shared" si="35"/>
        <v>828893003.01282585</v>
      </c>
      <c r="G365" s="1"/>
      <c r="H365" s="4">
        <v>828893003.00999999</v>
      </c>
      <c r="I365" s="7">
        <f t="shared" si="36"/>
        <v>1.1553638774396558E-3</v>
      </c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>
      <c r="A366" s="1" t="s">
        <v>409</v>
      </c>
      <c r="B366" s="14">
        <f>B365*(1-$J$1)</f>
        <v>612203.42339730321</v>
      </c>
      <c r="C366" s="14">
        <f t="shared" si="33"/>
        <v>122440.68467946065</v>
      </c>
      <c r="D366" s="14"/>
      <c r="E366" s="14">
        <f t="shared" si="34"/>
        <v>183661.02701919095</v>
      </c>
      <c r="F366" s="14">
        <f t="shared" si="35"/>
        <v>829811308.1479218</v>
      </c>
      <c r="G366" s="1"/>
      <c r="H366" s="4">
        <v>829811308.14999998</v>
      </c>
      <c r="I366" s="7">
        <f t="shared" si="36"/>
        <v>1.1078693349627744E-3</v>
      </c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>
      <c r="A367" s="1" t="s">
        <v>410</v>
      </c>
      <c r="B367" s="14">
        <f t="shared" si="32"/>
        <v>612203.42339730321</v>
      </c>
      <c r="C367" s="14">
        <f t="shared" si="33"/>
        <v>122440.68467946065</v>
      </c>
      <c r="D367" s="14"/>
      <c r="E367" s="14">
        <f t="shared" si="34"/>
        <v>183661.02701919095</v>
      </c>
      <c r="F367" s="14">
        <f t="shared" si="35"/>
        <v>830729613.28301775</v>
      </c>
      <c r="G367" s="1"/>
      <c r="H367" s="4">
        <v>830729613.27999997</v>
      </c>
      <c r="I367" s="7">
        <f t="shared" si="36"/>
        <v>1.1066433067142521E-3</v>
      </c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>
      <c r="A368" s="1" t="s">
        <v>411</v>
      </c>
      <c r="B368" s="14">
        <f t="shared" si="32"/>
        <v>612203.42339730321</v>
      </c>
      <c r="C368" s="14">
        <f t="shared" si="33"/>
        <v>122440.68467946065</v>
      </c>
      <c r="D368" s="14"/>
      <c r="E368" s="14">
        <f t="shared" si="34"/>
        <v>183661.02701919095</v>
      </c>
      <c r="F368" s="14">
        <f t="shared" si="35"/>
        <v>831647918.41811371</v>
      </c>
      <c r="G368" s="1"/>
      <c r="H368" s="4">
        <v>831647918.41999996</v>
      </c>
      <c r="I368" s="7">
        <f t="shared" si="36"/>
        <v>1.1054200131065607E-3</v>
      </c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>
      <c r="A369" s="1" t="s">
        <v>412</v>
      </c>
      <c r="B369" s="14">
        <f t="shared" si="32"/>
        <v>612203.42339730321</v>
      </c>
      <c r="C369" s="14">
        <f t="shared" si="33"/>
        <v>122440.68467946065</v>
      </c>
      <c r="D369" s="14"/>
      <c r="E369" s="14">
        <f t="shared" si="34"/>
        <v>183661.02701919095</v>
      </c>
      <c r="F369" s="14">
        <f t="shared" si="35"/>
        <v>832566223.55320966</v>
      </c>
      <c r="G369" s="1"/>
      <c r="H369" s="4">
        <v>832566223.54999995</v>
      </c>
      <c r="I369" s="7">
        <f t="shared" si="36"/>
        <v>1.1041993969571045E-3</v>
      </c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>
      <c r="A370" s="1" t="s">
        <v>413</v>
      </c>
      <c r="B370" s="14">
        <f t="shared" si="32"/>
        <v>612203.42339730321</v>
      </c>
      <c r="C370" s="14">
        <f t="shared" si="33"/>
        <v>122440.68467946065</v>
      </c>
      <c r="D370" s="14"/>
      <c r="E370" s="14">
        <f t="shared" si="34"/>
        <v>183661.02701919095</v>
      </c>
      <c r="F370" s="14">
        <f t="shared" si="35"/>
        <v>833484528.68830562</v>
      </c>
      <c r="G370" s="1"/>
      <c r="H370" s="4">
        <v>833484528.69000006</v>
      </c>
      <c r="I370" s="7">
        <f t="shared" si="36"/>
        <v>1.1029814974771865E-3</v>
      </c>
      <c r="J370" s="7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>
      <c r="A371" s="1" t="s">
        <v>414</v>
      </c>
      <c r="B371" s="14">
        <f t="shared" si="32"/>
        <v>612203.42339730321</v>
      </c>
      <c r="C371" s="14">
        <f t="shared" si="33"/>
        <v>122440.68467946065</v>
      </c>
      <c r="D371" s="14"/>
      <c r="E371" s="14">
        <f t="shared" si="34"/>
        <v>183661.02701919095</v>
      </c>
      <c r="F371" s="14">
        <f t="shared" si="35"/>
        <v>834402833.82340157</v>
      </c>
      <c r="G371" s="1"/>
      <c r="H371" s="4">
        <v>834402833.82000005</v>
      </c>
      <c r="I371" s="7">
        <f t="shared" si="36"/>
        <v>1.1017662576692443E-3</v>
      </c>
      <c r="J371" s="7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>
      <c r="A372" s="1" t="s">
        <v>415</v>
      </c>
      <c r="B372" s="14">
        <f t="shared" si="32"/>
        <v>612203.42339730321</v>
      </c>
      <c r="C372" s="14">
        <f t="shared" si="33"/>
        <v>122440.68467946065</v>
      </c>
      <c r="D372" s="14"/>
      <c r="E372" s="14">
        <f t="shared" si="34"/>
        <v>183661.02701919095</v>
      </c>
      <c r="F372" s="14">
        <f t="shared" si="35"/>
        <v>835321138.95849752</v>
      </c>
      <c r="G372" s="1"/>
      <c r="H372" s="4">
        <v>835321138.96000004</v>
      </c>
      <c r="I372" s="7">
        <f t="shared" si="36"/>
        <v>1.1005537167172244E-3</v>
      </c>
      <c r="J372" s="7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>
      <c r="A373" s="1" t="s">
        <v>416</v>
      </c>
      <c r="B373" s="14">
        <f t="shared" si="32"/>
        <v>612203.42339730321</v>
      </c>
      <c r="C373" s="14">
        <f t="shared" si="33"/>
        <v>122440.68467946065</v>
      </c>
      <c r="D373" s="14"/>
      <c r="E373" s="14">
        <f t="shared" si="34"/>
        <v>183661.02701919095</v>
      </c>
      <c r="F373" s="14">
        <f t="shared" si="35"/>
        <v>836239444.09359348</v>
      </c>
      <c r="G373" s="1"/>
      <c r="H373" s="4">
        <v>836239444.09000003</v>
      </c>
      <c r="I373" s="7">
        <f t="shared" si="36"/>
        <v>1.0993438178079783E-3</v>
      </c>
      <c r="J373" s="7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>
      <c r="A374" s="1" t="s">
        <v>417</v>
      </c>
      <c r="B374" s="14">
        <f t="shared" si="32"/>
        <v>612203.42339730321</v>
      </c>
      <c r="C374" s="14">
        <f t="shared" si="33"/>
        <v>122440.68467946065</v>
      </c>
      <c r="D374" s="14"/>
      <c r="E374" s="14">
        <f t="shared" si="34"/>
        <v>183661.02701919095</v>
      </c>
      <c r="F374" s="14">
        <f t="shared" si="35"/>
        <v>837157749.22868943</v>
      </c>
      <c r="G374" s="1"/>
      <c r="H374" s="4">
        <v>837157749.23000002</v>
      </c>
      <c r="I374" s="7">
        <f t="shared" si="36"/>
        <v>1.0981366000969853E-3</v>
      </c>
      <c r="J374" s="7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>
      <c r="A375" s="1" t="s">
        <v>418</v>
      </c>
      <c r="B375" s="14">
        <f t="shared" si="32"/>
        <v>612203.42339730321</v>
      </c>
      <c r="C375" s="14">
        <f t="shared" si="33"/>
        <v>122440.68467946065</v>
      </c>
      <c r="D375" s="14"/>
      <c r="E375" s="14">
        <f t="shared" si="34"/>
        <v>183661.02701919095</v>
      </c>
      <c r="F375" s="14">
        <f t="shared" si="35"/>
        <v>838076054.36378539</v>
      </c>
      <c r="G375" s="1"/>
      <c r="H375" s="4">
        <v>838076054.36000001</v>
      </c>
      <c r="I375" s="7">
        <f t="shared" si="36"/>
        <v>1.0969320069540453E-3</v>
      </c>
      <c r="J375" s="7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>
      <c r="A376" s="1" t="s">
        <v>419</v>
      </c>
      <c r="B376" s="14">
        <f t="shared" si="32"/>
        <v>612203.42339730321</v>
      </c>
      <c r="C376" s="14">
        <f t="shared" si="33"/>
        <v>122440.68467946065</v>
      </c>
      <c r="D376" s="14"/>
      <c r="E376" s="14">
        <f t="shared" si="34"/>
        <v>183661.02701919095</v>
      </c>
      <c r="F376" s="14">
        <f t="shared" si="35"/>
        <v>838994359.49888134</v>
      </c>
      <c r="G376" s="1"/>
      <c r="H376" s="4">
        <v>838994359.5</v>
      </c>
      <c r="I376" s="7">
        <f t="shared" si="36"/>
        <v>1.095730077506215E-3</v>
      </c>
      <c r="J376" s="7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>
      <c r="A377" s="1" t="s">
        <v>420</v>
      </c>
      <c r="B377" s="14">
        <f t="shared" si="32"/>
        <v>612203.42339730321</v>
      </c>
      <c r="C377" s="14">
        <f t="shared" si="33"/>
        <v>122440.68467946065</v>
      </c>
      <c r="D377" s="14"/>
      <c r="E377" s="14">
        <f t="shared" si="34"/>
        <v>183661.02701919095</v>
      </c>
      <c r="F377" s="14">
        <f t="shared" si="35"/>
        <v>839912664.63397729</v>
      </c>
      <c r="G377" s="1"/>
      <c r="H377" s="4">
        <v>839912664.63</v>
      </c>
      <c r="I377" s="7">
        <f t="shared" si="36"/>
        <v>1.094530755304792E-3</v>
      </c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>
      <c r="A378" s="1" t="s">
        <v>421</v>
      </c>
      <c r="B378" s="14">
        <f>B377*(1-$J$1)</f>
        <v>587715.28646141104</v>
      </c>
      <c r="C378" s="14">
        <f t="shared" si="33"/>
        <v>117543.05729228222</v>
      </c>
      <c r="D378" s="14"/>
      <c r="E378" s="14">
        <f t="shared" si="34"/>
        <v>176314.58593842332</v>
      </c>
      <c r="F378" s="14">
        <f t="shared" si="35"/>
        <v>840794237.56366944</v>
      </c>
      <c r="G378" s="1"/>
      <c r="H378" s="4">
        <v>840794237.55999994</v>
      </c>
      <c r="I378" s="7">
        <f t="shared" si="36"/>
        <v>1.0496007110314259E-3</v>
      </c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>
      <c r="A379" s="1" t="s">
        <v>422</v>
      </c>
      <c r="B379" s="14">
        <f t="shared" si="32"/>
        <v>587715.28646141104</v>
      </c>
      <c r="C379" s="14">
        <f t="shared" si="33"/>
        <v>117543.05729228222</v>
      </c>
      <c r="D379" s="14"/>
      <c r="E379" s="14">
        <f t="shared" si="34"/>
        <v>176314.58593842332</v>
      </c>
      <c r="F379" s="14">
        <f t="shared" si="35"/>
        <v>841675810.49336159</v>
      </c>
      <c r="G379" s="1"/>
      <c r="H379" s="4">
        <v>841675810.49000001</v>
      </c>
      <c r="I379" s="7">
        <f t="shared" si="36"/>
        <v>1.048500204471438E-3</v>
      </c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>
      <c r="A380" s="1" t="s">
        <v>423</v>
      </c>
      <c r="B380" s="14">
        <f t="shared" si="32"/>
        <v>587715.28646141104</v>
      </c>
      <c r="C380" s="14">
        <f t="shared" si="33"/>
        <v>117543.05729228222</v>
      </c>
      <c r="D380" s="14"/>
      <c r="E380" s="14">
        <f t="shared" si="34"/>
        <v>176314.58593842332</v>
      </c>
      <c r="F380" s="14">
        <f t="shared" si="35"/>
        <v>842557383.42305374</v>
      </c>
      <c r="G380" s="1"/>
      <c r="H380" s="4">
        <v>842557383.41999996</v>
      </c>
      <c r="I380" s="7">
        <f t="shared" si="36"/>
        <v>1.0474020032567178E-3</v>
      </c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>
      <c r="A381" s="1" t="s">
        <v>424</v>
      </c>
      <c r="B381" s="14">
        <f t="shared" si="32"/>
        <v>587715.28646141104</v>
      </c>
      <c r="C381" s="14">
        <f t="shared" si="33"/>
        <v>117543.05729228222</v>
      </c>
      <c r="D381" s="14"/>
      <c r="E381" s="14">
        <f t="shared" si="34"/>
        <v>176314.58593842332</v>
      </c>
      <c r="F381" s="14">
        <f t="shared" si="35"/>
        <v>843438956.35274589</v>
      </c>
      <c r="G381" s="1"/>
      <c r="H381" s="4">
        <v>843438956.35000002</v>
      </c>
      <c r="I381" s="7">
        <f t="shared" si="36"/>
        <v>1.046306100151541E-3</v>
      </c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>
      <c r="A382" s="1" t="s">
        <v>425</v>
      </c>
      <c r="B382" s="14">
        <f t="shared" si="32"/>
        <v>587715.28646141104</v>
      </c>
      <c r="C382" s="14">
        <f t="shared" si="33"/>
        <v>117543.05729228222</v>
      </c>
      <c r="D382" s="14"/>
      <c r="E382" s="14">
        <f t="shared" si="34"/>
        <v>176314.58593842332</v>
      </c>
      <c r="F382" s="14">
        <f t="shared" si="35"/>
        <v>844320529.28243804</v>
      </c>
      <c r="G382" s="1"/>
      <c r="H382" s="4">
        <v>844320529.27999997</v>
      </c>
      <c r="I382" s="7">
        <f t="shared" si="36"/>
        <v>1.0452124879493036E-3</v>
      </c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>
      <c r="A383" s="1" t="s">
        <v>426</v>
      </c>
      <c r="B383" s="14">
        <f t="shared" si="32"/>
        <v>587715.28646141104</v>
      </c>
      <c r="C383" s="14">
        <f t="shared" si="33"/>
        <v>117543.05729228222</v>
      </c>
      <c r="D383" s="14"/>
      <c r="E383" s="14">
        <f t="shared" si="34"/>
        <v>176314.58593842332</v>
      </c>
      <c r="F383" s="14">
        <f t="shared" si="35"/>
        <v>845202102.21213019</v>
      </c>
      <c r="G383" s="1"/>
      <c r="H383" s="4">
        <v>845202102.21000004</v>
      </c>
      <c r="I383" s="7">
        <f t="shared" si="36"/>
        <v>1.04412115947463E-3</v>
      </c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>
      <c r="A384" s="1" t="s">
        <v>427</v>
      </c>
      <c r="B384" s="14">
        <f t="shared" ref="B384:B447" si="37">B383</f>
        <v>587715.28646141104</v>
      </c>
      <c r="C384" s="14">
        <f t="shared" si="33"/>
        <v>117543.05729228222</v>
      </c>
      <c r="D384" s="14"/>
      <c r="E384" s="14">
        <f t="shared" si="34"/>
        <v>176314.58593842332</v>
      </c>
      <c r="F384" s="14">
        <f t="shared" si="35"/>
        <v>846083675.14182234</v>
      </c>
      <c r="G384" s="1"/>
      <c r="H384" s="4">
        <v>846083675.13999999</v>
      </c>
      <c r="I384" s="7">
        <f t="shared" si="36"/>
        <v>1.0430321075809519E-3</v>
      </c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>
      <c r="A385" s="1" t="s">
        <v>428</v>
      </c>
      <c r="B385" s="14">
        <f t="shared" si="37"/>
        <v>587715.28646141104</v>
      </c>
      <c r="C385" s="14">
        <f t="shared" si="33"/>
        <v>117543.05729228222</v>
      </c>
      <c r="D385" s="14"/>
      <c r="E385" s="14">
        <f t="shared" si="34"/>
        <v>176314.58593842332</v>
      </c>
      <c r="F385" s="14">
        <f t="shared" si="35"/>
        <v>846965248.07151449</v>
      </c>
      <c r="G385" s="1"/>
      <c r="H385" s="4">
        <v>846965248.07000005</v>
      </c>
      <c r="I385" s="7">
        <f t="shared" si="36"/>
        <v>1.041945325152615E-3</v>
      </c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>
      <c r="A386" s="1" t="s">
        <v>429</v>
      </c>
      <c r="B386" s="14">
        <f t="shared" si="37"/>
        <v>587715.28646141104</v>
      </c>
      <c r="C386" s="14">
        <f t="shared" si="33"/>
        <v>117543.05729228222</v>
      </c>
      <c r="D386" s="14"/>
      <c r="E386" s="14">
        <f t="shared" si="34"/>
        <v>176314.58593842332</v>
      </c>
      <c r="F386" s="14">
        <f t="shared" si="35"/>
        <v>847846821.00120664</v>
      </c>
      <c r="G386" s="1"/>
      <c r="H386" s="4">
        <v>847846821</v>
      </c>
      <c r="I386" s="7">
        <f t="shared" si="36"/>
        <v>1.040860805102463E-3</v>
      </c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>
      <c r="A387" s="1" t="s">
        <v>430</v>
      </c>
      <c r="B387" s="14">
        <f t="shared" si="37"/>
        <v>587715.28646141104</v>
      </c>
      <c r="C387" s="14">
        <f t="shared" si="33"/>
        <v>117543.05729228222</v>
      </c>
      <c r="D387" s="14"/>
      <c r="E387" s="14">
        <f t="shared" si="34"/>
        <v>176314.58593842332</v>
      </c>
      <c r="F387" s="14">
        <f t="shared" si="35"/>
        <v>848728393.93089879</v>
      </c>
      <c r="G387" s="1"/>
      <c r="H387" s="4">
        <v>848728393.92999995</v>
      </c>
      <c r="I387" s="7">
        <f t="shared" si="36"/>
        <v>1.0397785403738014E-3</v>
      </c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>
      <c r="A388" s="1" t="s">
        <v>431</v>
      </c>
      <c r="B388" s="14">
        <f t="shared" si="37"/>
        <v>587715.28646141104</v>
      </c>
      <c r="C388" s="14">
        <f t="shared" si="33"/>
        <v>117543.05729228222</v>
      </c>
      <c r="D388" s="14"/>
      <c r="E388" s="14">
        <f t="shared" si="34"/>
        <v>176314.58593842332</v>
      </c>
      <c r="F388" s="14">
        <f t="shared" si="35"/>
        <v>849609966.86059093</v>
      </c>
      <c r="G388" s="1"/>
      <c r="H388" s="4">
        <v>849609966.86000001</v>
      </c>
      <c r="I388" s="7">
        <f t="shared" si="36"/>
        <v>1.0386985239388322E-3</v>
      </c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>
      <c r="A389" s="1" t="s">
        <v>432</v>
      </c>
      <c r="B389" s="14">
        <f t="shared" si="37"/>
        <v>587715.28646141104</v>
      </c>
      <c r="C389" s="14">
        <f t="shared" si="33"/>
        <v>117543.05729228222</v>
      </c>
      <c r="D389" s="14"/>
      <c r="E389" s="14">
        <f t="shared" si="34"/>
        <v>176314.58593842332</v>
      </c>
      <c r="F389" s="14">
        <f t="shared" si="35"/>
        <v>850491539.79028308</v>
      </c>
      <c r="G389" s="1"/>
      <c r="H389" s="4">
        <v>850491539.78999996</v>
      </c>
      <c r="I389" s="7">
        <f t="shared" si="36"/>
        <v>1.0376207487985067E-3</v>
      </c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>
      <c r="A390" s="1" t="s">
        <v>433</v>
      </c>
      <c r="B390" s="14">
        <f>B389*(1-$J$1)</f>
        <v>564206.67500295455</v>
      </c>
      <c r="C390" s="14">
        <f t="shared" si="33"/>
        <v>112841.33500059092</v>
      </c>
      <c r="D390" s="14"/>
      <c r="E390" s="14">
        <f t="shared" si="34"/>
        <v>169262.00250088636</v>
      </c>
      <c r="F390" s="14">
        <f t="shared" si="35"/>
        <v>851337849.80278754</v>
      </c>
      <c r="G390" s="1"/>
      <c r="H390" s="4">
        <v>851337849.79999995</v>
      </c>
      <c r="I390" s="7">
        <f t="shared" si="36"/>
        <v>9.9508339637212383E-4</v>
      </c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>
      <c r="A391" s="1" t="s">
        <v>434</v>
      </c>
      <c r="B391" s="14">
        <f t="shared" si="37"/>
        <v>564206.67500295455</v>
      </c>
      <c r="C391" s="14">
        <f t="shared" si="33"/>
        <v>112841.33500059092</v>
      </c>
      <c r="D391" s="14"/>
      <c r="E391" s="14">
        <f t="shared" si="34"/>
        <v>169262.00250088636</v>
      </c>
      <c r="F391" s="14">
        <f t="shared" si="35"/>
        <v>852184159.815292</v>
      </c>
      <c r="G391" s="1"/>
      <c r="H391" s="4">
        <v>852184159.82000005</v>
      </c>
      <c r="I391" s="7">
        <f t="shared" si="36"/>
        <v>9.9409420149582095E-4</v>
      </c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>
      <c r="A392" s="1" t="s">
        <v>435</v>
      </c>
      <c r="B392" s="14">
        <f t="shared" si="37"/>
        <v>564206.67500295455</v>
      </c>
      <c r="C392" s="14">
        <f t="shared" si="33"/>
        <v>112841.33500059092</v>
      </c>
      <c r="D392" s="14"/>
      <c r="E392" s="14">
        <f t="shared" si="34"/>
        <v>169262.00250088636</v>
      </c>
      <c r="F392" s="14">
        <f t="shared" si="35"/>
        <v>853030469.82779646</v>
      </c>
      <c r="G392" s="1"/>
      <c r="H392" s="4">
        <v>853030469.83000004</v>
      </c>
      <c r="I392" s="7">
        <f t="shared" si="36"/>
        <v>9.9310694789111033E-4</v>
      </c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>
      <c r="A393" s="1" t="s">
        <v>436</v>
      </c>
      <c r="B393" s="14">
        <f t="shared" si="37"/>
        <v>564206.67500295455</v>
      </c>
      <c r="C393" s="14">
        <f t="shared" si="33"/>
        <v>112841.33500059092</v>
      </c>
      <c r="D393" s="14"/>
      <c r="E393" s="14">
        <f t="shared" si="34"/>
        <v>169262.00250088636</v>
      </c>
      <c r="F393" s="14">
        <f t="shared" si="35"/>
        <v>853876779.84030092</v>
      </c>
      <c r="G393" s="1"/>
      <c r="H393" s="4">
        <v>853876779.84000003</v>
      </c>
      <c r="I393" s="7">
        <f t="shared" si="36"/>
        <v>9.9212166497247281E-4</v>
      </c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>
      <c r="A394" s="1" t="s">
        <v>437</v>
      </c>
      <c r="B394" s="14">
        <f t="shared" si="37"/>
        <v>564206.67500295455</v>
      </c>
      <c r="C394" s="14">
        <f t="shared" si="33"/>
        <v>112841.33500059092</v>
      </c>
      <c r="D394" s="14"/>
      <c r="E394" s="14">
        <f t="shared" si="34"/>
        <v>169262.00250088636</v>
      </c>
      <c r="F394" s="14">
        <f t="shared" si="35"/>
        <v>854723089.85280538</v>
      </c>
      <c r="G394" s="1"/>
      <c r="H394" s="4">
        <v>854723089.85000002</v>
      </c>
      <c r="I394" s="7">
        <f t="shared" si="36"/>
        <v>9.9113833515717862E-4</v>
      </c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>
      <c r="A395" s="1" t="s">
        <v>438</v>
      </c>
      <c r="B395" s="14">
        <f t="shared" si="37"/>
        <v>564206.67500295455</v>
      </c>
      <c r="C395" s="14">
        <f t="shared" si="33"/>
        <v>112841.33500059092</v>
      </c>
      <c r="D395" s="14"/>
      <c r="E395" s="14">
        <f t="shared" si="34"/>
        <v>169262.00250088636</v>
      </c>
      <c r="F395" s="14">
        <f t="shared" si="35"/>
        <v>855569399.86530983</v>
      </c>
      <c r="G395" s="1"/>
      <c r="H395" s="4">
        <v>855569399.87</v>
      </c>
      <c r="I395" s="7">
        <f t="shared" si="36"/>
        <v>9.9015696434327565E-4</v>
      </c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>
      <c r="A396" s="1" t="s">
        <v>439</v>
      </c>
      <c r="B396" s="14">
        <f t="shared" si="37"/>
        <v>564206.67500295455</v>
      </c>
      <c r="C396" s="14">
        <f t="shared" si="33"/>
        <v>112841.33500059092</v>
      </c>
      <c r="D396" s="14"/>
      <c r="E396" s="14">
        <f t="shared" si="34"/>
        <v>169262.00250088636</v>
      </c>
      <c r="F396" s="14">
        <f t="shared" si="35"/>
        <v>856415709.87781429</v>
      </c>
      <c r="G396" s="1"/>
      <c r="H396" s="4">
        <v>856415709.88</v>
      </c>
      <c r="I396" s="7">
        <f t="shared" si="36"/>
        <v>9.8917751164146763E-4</v>
      </c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>
      <c r="A397" s="1" t="s">
        <v>440</v>
      </c>
      <c r="B397" s="14">
        <f t="shared" si="37"/>
        <v>564206.67500295455</v>
      </c>
      <c r="C397" s="14">
        <f t="shared" ref="C397:C460" si="38">B397*$H$6</f>
        <v>112841.33500059092</v>
      </c>
      <c r="D397" s="14"/>
      <c r="E397" s="14">
        <f t="shared" si="34"/>
        <v>169262.00250088636</v>
      </c>
      <c r="F397" s="14">
        <f t="shared" si="35"/>
        <v>857262019.89031875</v>
      </c>
      <c r="G397" s="1"/>
      <c r="H397" s="4">
        <v>857262019.88999999</v>
      </c>
      <c r="I397" s="7">
        <f t="shared" si="36"/>
        <v>9.8820000641811501E-4</v>
      </c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>
      <c r="A398" s="1" t="s">
        <v>441</v>
      </c>
      <c r="B398" s="14">
        <f t="shared" si="37"/>
        <v>564206.67500295455</v>
      </c>
      <c r="C398" s="14">
        <f t="shared" si="38"/>
        <v>112841.33500059092</v>
      </c>
      <c r="D398" s="14"/>
      <c r="E398" s="14">
        <f t="shared" si="34"/>
        <v>169262.00250088636</v>
      </c>
      <c r="F398" s="14">
        <f t="shared" si="35"/>
        <v>858108329.90282321</v>
      </c>
      <c r="G398" s="1"/>
      <c r="H398" s="4">
        <v>858108329.89999998</v>
      </c>
      <c r="I398" s="7">
        <f t="shared" si="36"/>
        <v>9.8722443122883853E-4</v>
      </c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>
      <c r="A399" s="1" t="s">
        <v>442</v>
      </c>
      <c r="B399" s="14">
        <f t="shared" si="37"/>
        <v>564206.67500295455</v>
      </c>
      <c r="C399" s="14">
        <f t="shared" si="38"/>
        <v>112841.33500059092</v>
      </c>
      <c r="D399" s="14"/>
      <c r="E399" s="14">
        <f t="shared" si="34"/>
        <v>169262.00250088636</v>
      </c>
      <c r="F399" s="14">
        <f t="shared" si="35"/>
        <v>858954639.91532767</v>
      </c>
      <c r="G399" s="1"/>
      <c r="H399" s="4">
        <v>858954639.91999996</v>
      </c>
      <c r="I399" s="7">
        <f t="shared" si="36"/>
        <v>9.8625079201667461E-4</v>
      </c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>
      <c r="A400" s="1" t="s">
        <v>443</v>
      </c>
      <c r="B400" s="14">
        <f t="shared" si="37"/>
        <v>564206.67500295455</v>
      </c>
      <c r="C400" s="14">
        <f t="shared" si="38"/>
        <v>112841.33500059092</v>
      </c>
      <c r="D400" s="14"/>
      <c r="E400" s="14">
        <f t="shared" si="34"/>
        <v>169262.00250088636</v>
      </c>
      <c r="F400" s="14">
        <f t="shared" si="35"/>
        <v>859800949.92783213</v>
      </c>
      <c r="G400" s="1"/>
      <c r="H400" s="4">
        <v>859800949.92999995</v>
      </c>
      <c r="I400" s="7">
        <f t="shared" si="36"/>
        <v>9.8527904812157805E-4</v>
      </c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>
      <c r="A401" s="1" t="s">
        <v>444</v>
      </c>
      <c r="B401" s="14">
        <f t="shared" si="37"/>
        <v>564206.67500295455</v>
      </c>
      <c r="C401" s="14">
        <f t="shared" si="38"/>
        <v>112841.33500059092</v>
      </c>
      <c r="D401" s="14"/>
      <c r="E401" s="14">
        <f t="shared" si="34"/>
        <v>169262.00250088636</v>
      </c>
      <c r="F401" s="14">
        <f t="shared" si="35"/>
        <v>860647259.94033659</v>
      </c>
      <c r="G401" s="1"/>
      <c r="H401" s="4">
        <v>860647259.94000006</v>
      </c>
      <c r="I401" s="7">
        <f t="shared" si="36"/>
        <v>9.8430922886164692E-4</v>
      </c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>
      <c r="A402" s="1" t="s">
        <v>445</v>
      </c>
      <c r="B402" s="14">
        <f>B401*(1-$J$1)</f>
        <v>541638.4080028364</v>
      </c>
      <c r="C402" s="14">
        <f t="shared" si="38"/>
        <v>108327.68160056729</v>
      </c>
      <c r="D402" s="14"/>
      <c r="E402" s="14">
        <f t="shared" si="34"/>
        <v>162491.52240085092</v>
      </c>
      <c r="F402" s="14">
        <f t="shared" si="35"/>
        <v>861459717.55234087</v>
      </c>
      <c r="G402" s="1"/>
      <c r="H402" s="4">
        <v>861459717.54999995</v>
      </c>
      <c r="I402" s="7">
        <f t="shared" si="36"/>
        <v>9.4400766471566474E-4</v>
      </c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>
      <c r="A403" s="1" t="s">
        <v>446</v>
      </c>
      <c r="B403" s="14">
        <f t="shared" si="37"/>
        <v>541638.4080028364</v>
      </c>
      <c r="C403" s="14">
        <f t="shared" si="38"/>
        <v>108327.68160056729</v>
      </c>
      <c r="D403" s="14"/>
      <c r="E403" s="14">
        <f t="shared" ref="E403:E466" si="39">(B403+C403+D403)*25%</f>
        <v>162491.52240085092</v>
      </c>
      <c r="F403" s="14">
        <f t="shared" ref="F403:F466" si="40">F402+SUM(B403:E403)</f>
        <v>862272175.16434515</v>
      </c>
      <c r="G403" s="1"/>
      <c r="H403" s="4">
        <v>862272175.15999997</v>
      </c>
      <c r="I403" s="7">
        <f t="shared" si="36"/>
        <v>9.4311735470423608E-4</v>
      </c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>
      <c r="A404" s="1" t="s">
        <v>447</v>
      </c>
      <c r="B404" s="14">
        <f t="shared" si="37"/>
        <v>541638.4080028364</v>
      </c>
      <c r="C404" s="14">
        <f t="shared" si="38"/>
        <v>108327.68160056729</v>
      </c>
      <c r="D404" s="14"/>
      <c r="E404" s="14">
        <f t="shared" si="39"/>
        <v>162491.52240085092</v>
      </c>
      <c r="F404" s="14">
        <f t="shared" si="40"/>
        <v>863084632.77634943</v>
      </c>
      <c r="G404" s="1"/>
      <c r="H404" s="4">
        <v>863084632.77999997</v>
      </c>
      <c r="I404" s="7">
        <f t="shared" si="36"/>
        <v>9.4222873404125349E-4</v>
      </c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>
      <c r="A405" s="1" t="s">
        <v>448</v>
      </c>
      <c r="B405" s="14">
        <f t="shared" si="37"/>
        <v>541638.4080028364</v>
      </c>
      <c r="C405" s="14">
        <f t="shared" si="38"/>
        <v>108327.68160056729</v>
      </c>
      <c r="D405" s="14"/>
      <c r="E405" s="14">
        <f t="shared" si="39"/>
        <v>162491.52240085092</v>
      </c>
      <c r="F405" s="14">
        <f t="shared" si="40"/>
        <v>863897090.38835371</v>
      </c>
      <c r="G405" s="1"/>
      <c r="H405" s="4">
        <v>863897090.38999999</v>
      </c>
      <c r="I405" s="7">
        <f t="shared" si="36"/>
        <v>9.4134176318617121E-4</v>
      </c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>
      <c r="A406" s="1" t="s">
        <v>449</v>
      </c>
      <c r="B406" s="14">
        <f t="shared" si="37"/>
        <v>541638.4080028364</v>
      </c>
      <c r="C406" s="14">
        <f t="shared" si="38"/>
        <v>108327.68160056729</v>
      </c>
      <c r="D406" s="14"/>
      <c r="E406" s="14">
        <f t="shared" si="39"/>
        <v>162491.52240085092</v>
      </c>
      <c r="F406" s="14">
        <f t="shared" si="40"/>
        <v>864709548.00035799</v>
      </c>
      <c r="G406" s="1"/>
      <c r="H406" s="4">
        <v>864709548</v>
      </c>
      <c r="I406" s="7">
        <f t="shared" si="36"/>
        <v>9.404564722324001E-4</v>
      </c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>
      <c r="A407" s="1" t="s">
        <v>450</v>
      </c>
      <c r="B407" s="14">
        <f t="shared" si="37"/>
        <v>541638.4080028364</v>
      </c>
      <c r="C407" s="14">
        <f t="shared" si="38"/>
        <v>108327.68160056729</v>
      </c>
      <c r="D407" s="14"/>
      <c r="E407" s="14">
        <f t="shared" si="39"/>
        <v>162491.52240085092</v>
      </c>
      <c r="F407" s="14">
        <f t="shared" si="40"/>
        <v>865522005.61236227</v>
      </c>
      <c r="G407" s="1"/>
      <c r="H407" s="4">
        <v>865522005.61000001</v>
      </c>
      <c r="I407" s="7">
        <f t="shared" si="36"/>
        <v>9.3957284486930902E-4</v>
      </c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>
      <c r="A408" s="1" t="s">
        <v>451</v>
      </c>
      <c r="B408" s="14">
        <f t="shared" si="37"/>
        <v>541638.4080028364</v>
      </c>
      <c r="C408" s="14">
        <f t="shared" si="38"/>
        <v>108327.68160056729</v>
      </c>
      <c r="D408" s="14"/>
      <c r="E408" s="14">
        <f t="shared" si="39"/>
        <v>162491.52240085092</v>
      </c>
      <c r="F408" s="14">
        <f t="shared" si="40"/>
        <v>866334463.22436655</v>
      </c>
      <c r="G408" s="1"/>
      <c r="H408" s="4">
        <v>866334463.22000003</v>
      </c>
      <c r="I408" s="7">
        <f t="shared" si="36"/>
        <v>9.3869087641210559E-4</v>
      </c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>
      <c r="A409" s="1" t="s">
        <v>452</v>
      </c>
      <c r="B409" s="14">
        <f t="shared" si="37"/>
        <v>541638.4080028364</v>
      </c>
      <c r="C409" s="14">
        <f t="shared" si="38"/>
        <v>108327.68160056729</v>
      </c>
      <c r="D409" s="14"/>
      <c r="E409" s="14">
        <f t="shared" si="39"/>
        <v>162491.52240085092</v>
      </c>
      <c r="F409" s="14">
        <f t="shared" si="40"/>
        <v>867146920.83637083</v>
      </c>
      <c r="G409" s="1"/>
      <c r="H409" s="4">
        <v>867146920.84000003</v>
      </c>
      <c r="I409" s="7">
        <f t="shared" si="36"/>
        <v>9.3781057373644667E-4</v>
      </c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>
      <c r="A410" s="1" t="s">
        <v>453</v>
      </c>
      <c r="B410" s="14">
        <f t="shared" si="37"/>
        <v>541638.4080028364</v>
      </c>
      <c r="C410" s="14">
        <f t="shared" si="38"/>
        <v>108327.68160056729</v>
      </c>
      <c r="D410" s="14"/>
      <c r="E410" s="14">
        <f t="shared" si="39"/>
        <v>162491.52240085092</v>
      </c>
      <c r="F410" s="14">
        <f t="shared" si="40"/>
        <v>867959378.44837511</v>
      </c>
      <c r="G410" s="1"/>
      <c r="H410" s="4">
        <v>867959378.45000005</v>
      </c>
      <c r="I410" s="7">
        <f t="shared" si="36"/>
        <v>9.3693189755317523E-4</v>
      </c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>
      <c r="A411" s="1" t="s">
        <v>454</v>
      </c>
      <c r="B411" s="14">
        <f t="shared" si="37"/>
        <v>541638.4080028364</v>
      </c>
      <c r="C411" s="14">
        <f t="shared" si="38"/>
        <v>108327.68160056729</v>
      </c>
      <c r="D411" s="14"/>
      <c r="E411" s="14">
        <f t="shared" si="39"/>
        <v>162491.52240085092</v>
      </c>
      <c r="F411" s="14">
        <f t="shared" si="40"/>
        <v>868771836.06037939</v>
      </c>
      <c r="G411" s="1"/>
      <c r="H411" s="4">
        <v>868771836.05999994</v>
      </c>
      <c r="I411" s="7">
        <f t="shared" si="36"/>
        <v>9.3605487788009172E-4</v>
      </c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>
      <c r="A412" s="1" t="s">
        <v>455</v>
      </c>
      <c r="B412" s="14">
        <f t="shared" si="37"/>
        <v>541638.4080028364</v>
      </c>
      <c r="C412" s="14">
        <f t="shared" si="38"/>
        <v>108327.68160056729</v>
      </c>
      <c r="D412" s="14"/>
      <c r="E412" s="14">
        <f t="shared" si="39"/>
        <v>162491.52240085092</v>
      </c>
      <c r="F412" s="14">
        <f t="shared" si="40"/>
        <v>869584293.67238367</v>
      </c>
      <c r="G412" s="1"/>
      <c r="H412" s="4">
        <v>869584293.66999996</v>
      </c>
      <c r="I412" s="7">
        <f t="shared" si="36"/>
        <v>9.351794985489189E-4</v>
      </c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>
      <c r="A413" s="1" t="s">
        <v>456</v>
      </c>
      <c r="B413" s="14">
        <f t="shared" si="37"/>
        <v>541638.4080028364</v>
      </c>
      <c r="C413" s="14">
        <f t="shared" si="38"/>
        <v>108327.68160056729</v>
      </c>
      <c r="D413" s="14"/>
      <c r="E413" s="14">
        <f t="shared" si="39"/>
        <v>162491.52240085092</v>
      </c>
      <c r="F413" s="14">
        <f t="shared" si="40"/>
        <v>870396751.28438795</v>
      </c>
      <c r="G413" s="1"/>
      <c r="H413" s="4">
        <v>870396751.27999997</v>
      </c>
      <c r="I413" s="7">
        <f t="shared" si="36"/>
        <v>9.3430575496150257E-4</v>
      </c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>
      <c r="A414" s="1" t="s">
        <v>457</v>
      </c>
      <c r="B414" s="14">
        <f>B413*(1-$J$1)</f>
        <v>519972.87168272294</v>
      </c>
      <c r="C414" s="14">
        <f t="shared" si="38"/>
        <v>103994.5743365446</v>
      </c>
      <c r="D414" s="14"/>
      <c r="E414" s="14">
        <f t="shared" si="39"/>
        <v>155991.86150481689</v>
      </c>
      <c r="F414" s="14">
        <f t="shared" si="40"/>
        <v>871176710.59191203</v>
      </c>
      <c r="G414" s="1"/>
      <c r="H414" s="4">
        <v>871176710.59000003</v>
      </c>
      <c r="I414" s="7">
        <f t="shared" si="36"/>
        <v>8.9609630189113035E-4</v>
      </c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>
      <c r="A415" s="1" t="s">
        <v>458</v>
      </c>
      <c r="B415" s="14">
        <f t="shared" si="37"/>
        <v>519972.87168272294</v>
      </c>
      <c r="C415" s="14">
        <f t="shared" si="38"/>
        <v>103994.5743365446</v>
      </c>
      <c r="D415" s="14"/>
      <c r="E415" s="14">
        <f t="shared" si="39"/>
        <v>155991.86150481689</v>
      </c>
      <c r="F415" s="14">
        <f t="shared" si="40"/>
        <v>871956669.89943612</v>
      </c>
      <c r="G415" s="1"/>
      <c r="H415" s="4">
        <v>871956669.89999998</v>
      </c>
      <c r="I415" s="7">
        <f t="shared" si="36"/>
        <v>8.9529403221961623E-4</v>
      </c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>
      <c r="A416" s="1" t="s">
        <v>459</v>
      </c>
      <c r="B416" s="14">
        <f t="shared" si="37"/>
        <v>519972.87168272294</v>
      </c>
      <c r="C416" s="14">
        <f t="shared" si="38"/>
        <v>103994.5743365446</v>
      </c>
      <c r="D416" s="14"/>
      <c r="E416" s="14">
        <f t="shared" si="39"/>
        <v>155991.86150481689</v>
      </c>
      <c r="F416" s="14">
        <f t="shared" si="40"/>
        <v>872736629.2069602</v>
      </c>
      <c r="G416" s="1"/>
      <c r="H416" s="4">
        <v>872736629.21000004</v>
      </c>
      <c r="I416" s="7">
        <f t="shared" si="36"/>
        <v>8.944931977979036E-4</v>
      </c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>
      <c r="A417" s="1" t="s">
        <v>460</v>
      </c>
      <c r="B417" s="14">
        <f t="shared" si="37"/>
        <v>519972.87168272294</v>
      </c>
      <c r="C417" s="14">
        <f t="shared" si="38"/>
        <v>103994.5743365446</v>
      </c>
      <c r="D417" s="14"/>
      <c r="E417" s="14">
        <f t="shared" si="39"/>
        <v>155991.86150481689</v>
      </c>
      <c r="F417" s="14">
        <f t="shared" si="40"/>
        <v>873516588.51448429</v>
      </c>
      <c r="G417" s="1"/>
      <c r="H417" s="4">
        <v>873516588.50999999</v>
      </c>
      <c r="I417" s="7">
        <f t="shared" ref="I417:I480" si="41">(H417-H416)/H416</f>
        <v>8.9369378331922468E-4</v>
      </c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>
      <c r="A418" s="1" t="s">
        <v>461</v>
      </c>
      <c r="B418" s="14">
        <f t="shared" si="37"/>
        <v>519972.87168272294</v>
      </c>
      <c r="C418" s="14">
        <f t="shared" si="38"/>
        <v>103994.5743365446</v>
      </c>
      <c r="D418" s="14"/>
      <c r="E418" s="14">
        <f t="shared" si="39"/>
        <v>155991.86150481689</v>
      </c>
      <c r="F418" s="14">
        <f t="shared" si="40"/>
        <v>874296547.82200837</v>
      </c>
      <c r="G418" s="1"/>
      <c r="H418" s="4">
        <v>874296547.82000005</v>
      </c>
      <c r="I418" s="7">
        <f t="shared" si="41"/>
        <v>8.9289581933466977E-4</v>
      </c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>
      <c r="A419" s="1" t="s">
        <v>462</v>
      </c>
      <c r="B419" s="14">
        <f t="shared" si="37"/>
        <v>519972.87168272294</v>
      </c>
      <c r="C419" s="14">
        <f t="shared" si="38"/>
        <v>103994.5743365446</v>
      </c>
      <c r="D419" s="14"/>
      <c r="E419" s="14">
        <f t="shared" si="39"/>
        <v>155991.86150481689</v>
      </c>
      <c r="F419" s="14">
        <f t="shared" si="40"/>
        <v>875076507.12953246</v>
      </c>
      <c r="G419" s="1"/>
      <c r="H419" s="4">
        <v>875076507.13</v>
      </c>
      <c r="I419" s="7">
        <f t="shared" si="41"/>
        <v>8.9209926762803663E-4</v>
      </c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>
      <c r="A420" s="1" t="s">
        <v>463</v>
      </c>
      <c r="B420" s="14">
        <f t="shared" si="37"/>
        <v>519972.87168272294</v>
      </c>
      <c r="C420" s="14">
        <f t="shared" si="38"/>
        <v>103994.5743365446</v>
      </c>
      <c r="D420" s="14"/>
      <c r="E420" s="14">
        <f t="shared" si="39"/>
        <v>155991.86150481689</v>
      </c>
      <c r="F420" s="14">
        <f t="shared" si="40"/>
        <v>875856466.43705654</v>
      </c>
      <c r="G420" s="1"/>
      <c r="H420" s="4">
        <v>875856466.44000006</v>
      </c>
      <c r="I420" s="7">
        <f t="shared" si="41"/>
        <v>8.9130413586133725E-4</v>
      </c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>
      <c r="A421" s="1" t="s">
        <v>464</v>
      </c>
      <c r="B421" s="14">
        <f t="shared" si="37"/>
        <v>519972.87168272294</v>
      </c>
      <c r="C421" s="14">
        <f t="shared" si="38"/>
        <v>103994.5743365446</v>
      </c>
      <c r="D421" s="14"/>
      <c r="E421" s="14">
        <f t="shared" si="39"/>
        <v>155991.86150481689</v>
      </c>
      <c r="F421" s="14">
        <f t="shared" si="40"/>
        <v>876636425.74458063</v>
      </c>
      <c r="G421" s="1"/>
      <c r="H421" s="4">
        <v>876636425.74000001</v>
      </c>
      <c r="I421" s="7">
        <f t="shared" si="41"/>
        <v>8.9051040882322794E-4</v>
      </c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>
      <c r="A422" s="1" t="s">
        <v>465</v>
      </c>
      <c r="B422" s="14">
        <f t="shared" si="37"/>
        <v>519972.87168272294</v>
      </c>
      <c r="C422" s="14">
        <f t="shared" si="38"/>
        <v>103994.5743365446</v>
      </c>
      <c r="D422" s="14"/>
      <c r="E422" s="14">
        <f t="shared" si="39"/>
        <v>155991.86150481689</v>
      </c>
      <c r="F422" s="14">
        <f t="shared" si="40"/>
        <v>877416385.05210471</v>
      </c>
      <c r="G422" s="1"/>
      <c r="H422" s="4">
        <v>877416385.04999995</v>
      </c>
      <c r="I422" s="7">
        <f t="shared" si="41"/>
        <v>8.8971811699650901E-4</v>
      </c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>
      <c r="A423" s="1" t="s">
        <v>466</v>
      </c>
      <c r="B423" s="14">
        <f t="shared" si="37"/>
        <v>519972.87168272294</v>
      </c>
      <c r="C423" s="14">
        <f t="shared" si="38"/>
        <v>103994.5743365446</v>
      </c>
      <c r="D423" s="14"/>
      <c r="E423" s="14">
        <f t="shared" si="39"/>
        <v>155991.86150481689</v>
      </c>
      <c r="F423" s="14">
        <f t="shared" si="40"/>
        <v>878196344.3596288</v>
      </c>
      <c r="G423" s="1"/>
      <c r="H423" s="4">
        <v>878196344.36000001</v>
      </c>
      <c r="I423" s="7">
        <f t="shared" si="41"/>
        <v>8.8892722234223574E-4</v>
      </c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>
      <c r="A424" s="1" t="s">
        <v>467</v>
      </c>
      <c r="B424" s="14">
        <f t="shared" si="37"/>
        <v>519972.87168272294</v>
      </c>
      <c r="C424" s="14">
        <f t="shared" si="38"/>
        <v>103994.5743365446</v>
      </c>
      <c r="D424" s="14"/>
      <c r="E424" s="14">
        <f t="shared" si="39"/>
        <v>155991.86150481689</v>
      </c>
      <c r="F424" s="14">
        <f t="shared" si="40"/>
        <v>878976303.66715288</v>
      </c>
      <c r="G424" s="1"/>
      <c r="H424" s="4">
        <v>878976303.66999996</v>
      </c>
      <c r="I424" s="7">
        <f t="shared" si="41"/>
        <v>8.8813773253446061E-4</v>
      </c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>
      <c r="A425" s="1" t="s">
        <v>468</v>
      </c>
      <c r="B425" s="14">
        <f t="shared" si="37"/>
        <v>519972.87168272294</v>
      </c>
      <c r="C425" s="14">
        <f t="shared" si="38"/>
        <v>103994.5743365446</v>
      </c>
      <c r="D425" s="14"/>
      <c r="E425" s="14">
        <f t="shared" si="39"/>
        <v>155991.86150481689</v>
      </c>
      <c r="F425" s="14">
        <f t="shared" si="40"/>
        <v>879756262.97467697</v>
      </c>
      <c r="G425" s="1"/>
      <c r="H425" s="4">
        <v>879756262.97000003</v>
      </c>
      <c r="I425" s="7">
        <f t="shared" si="41"/>
        <v>8.873496324570963E-4</v>
      </c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>
      <c r="A426" s="1" t="s">
        <v>469</v>
      </c>
      <c r="B426" s="14">
        <f>B425*(1-$J$1)</f>
        <v>499173.95681541401</v>
      </c>
      <c r="C426" s="14">
        <f t="shared" si="38"/>
        <v>99834.791363082812</v>
      </c>
      <c r="D426" s="14"/>
      <c r="E426" s="14">
        <f t="shared" si="39"/>
        <v>149752.18704462421</v>
      </c>
      <c r="F426" s="14">
        <f t="shared" si="40"/>
        <v>880505023.90990007</v>
      </c>
      <c r="G426" s="1"/>
      <c r="H426" s="4">
        <v>880505023.90999997</v>
      </c>
      <c r="I426" s="7">
        <f t="shared" si="41"/>
        <v>8.5110043715081916E-4</v>
      </c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>
      <c r="A427" s="1" t="s">
        <v>470</v>
      </c>
      <c r="B427" s="14">
        <f t="shared" si="37"/>
        <v>499173.95681541401</v>
      </c>
      <c r="C427" s="14">
        <f t="shared" si="38"/>
        <v>99834.791363082812</v>
      </c>
      <c r="D427" s="14"/>
      <c r="E427" s="14">
        <f t="shared" si="39"/>
        <v>149752.18704462421</v>
      </c>
      <c r="F427" s="14">
        <f t="shared" si="40"/>
        <v>881253784.84512317</v>
      </c>
      <c r="G427" s="1"/>
      <c r="H427" s="4">
        <v>881253784.85000002</v>
      </c>
      <c r="I427" s="7">
        <f t="shared" si="41"/>
        <v>8.5037668118585449E-4</v>
      </c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>
      <c r="A428" s="1" t="s">
        <v>471</v>
      </c>
      <c r="B428" s="14">
        <f t="shared" si="37"/>
        <v>499173.95681541401</v>
      </c>
      <c r="C428" s="14">
        <f t="shared" si="38"/>
        <v>99834.791363082812</v>
      </c>
      <c r="D428" s="14"/>
      <c r="E428" s="14">
        <f t="shared" si="39"/>
        <v>149752.18704462421</v>
      </c>
      <c r="F428" s="14">
        <f t="shared" si="40"/>
        <v>882002545.78034627</v>
      </c>
      <c r="G428" s="1"/>
      <c r="H428" s="4">
        <v>882002545.77999997</v>
      </c>
      <c r="I428" s="7">
        <f t="shared" si="41"/>
        <v>8.4965414375768689E-4</v>
      </c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>
      <c r="A429" s="1" t="s">
        <v>472</v>
      </c>
      <c r="B429" s="14">
        <f t="shared" si="37"/>
        <v>499173.95681541401</v>
      </c>
      <c r="C429" s="14">
        <f t="shared" si="38"/>
        <v>99834.791363082812</v>
      </c>
      <c r="D429" s="14"/>
      <c r="E429" s="14">
        <f t="shared" si="39"/>
        <v>149752.18704462421</v>
      </c>
      <c r="F429" s="14">
        <f t="shared" si="40"/>
        <v>882751306.71556938</v>
      </c>
      <c r="G429" s="1"/>
      <c r="H429" s="4">
        <v>882751306.72000003</v>
      </c>
      <c r="I429" s="7">
        <f t="shared" si="41"/>
        <v>8.4893285578658921E-4</v>
      </c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>
      <c r="A430" s="1" t="s">
        <v>473</v>
      </c>
      <c r="B430" s="14">
        <f t="shared" si="37"/>
        <v>499173.95681541401</v>
      </c>
      <c r="C430" s="14">
        <f t="shared" si="38"/>
        <v>99834.791363082812</v>
      </c>
      <c r="D430" s="14"/>
      <c r="E430" s="14">
        <f t="shared" si="39"/>
        <v>149752.18704462421</v>
      </c>
      <c r="F430" s="14">
        <f t="shared" si="40"/>
        <v>883500067.65079248</v>
      </c>
      <c r="G430" s="1"/>
      <c r="H430" s="4">
        <v>883500067.64999998</v>
      </c>
      <c r="I430" s="7">
        <f t="shared" si="41"/>
        <v>8.4821276876053048E-4</v>
      </c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>
      <c r="A431" s="1" t="s">
        <v>474</v>
      </c>
      <c r="B431" s="14">
        <f t="shared" si="37"/>
        <v>499173.95681541401</v>
      </c>
      <c r="C431" s="14">
        <f t="shared" si="38"/>
        <v>99834.791363082812</v>
      </c>
      <c r="D431" s="14"/>
      <c r="E431" s="14">
        <f t="shared" si="39"/>
        <v>149752.18704462421</v>
      </c>
      <c r="F431" s="14">
        <f t="shared" si="40"/>
        <v>884248828.58601558</v>
      </c>
      <c r="G431" s="1"/>
      <c r="H431" s="4">
        <v>884248828.59000003</v>
      </c>
      <c r="I431" s="7">
        <f t="shared" si="41"/>
        <v>8.4749392492030923E-4</v>
      </c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>
      <c r="A432" s="1" t="s">
        <v>475</v>
      </c>
      <c r="B432" s="14">
        <f t="shared" si="37"/>
        <v>499173.95681541401</v>
      </c>
      <c r="C432" s="14">
        <f t="shared" si="38"/>
        <v>99834.791363082812</v>
      </c>
      <c r="D432" s="14"/>
      <c r="E432" s="14">
        <f t="shared" si="39"/>
        <v>149752.18704462421</v>
      </c>
      <c r="F432" s="14">
        <f t="shared" si="40"/>
        <v>884997589.52123868</v>
      </c>
      <c r="G432" s="1"/>
      <c r="H432" s="4">
        <v>884997589.51999998</v>
      </c>
      <c r="I432" s="7">
        <f t="shared" si="41"/>
        <v>8.4677627585201564E-4</v>
      </c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>
      <c r="A433" s="1" t="s">
        <v>476</v>
      </c>
      <c r="B433" s="14">
        <f t="shared" si="37"/>
        <v>499173.95681541401</v>
      </c>
      <c r="C433" s="14">
        <f t="shared" si="38"/>
        <v>99834.791363082812</v>
      </c>
      <c r="D433" s="14"/>
      <c r="E433" s="14">
        <f t="shared" si="39"/>
        <v>149752.18704462421</v>
      </c>
      <c r="F433" s="14">
        <f t="shared" si="40"/>
        <v>885746350.45646179</v>
      </c>
      <c r="G433" s="1"/>
      <c r="H433" s="4">
        <v>885746350.46000004</v>
      </c>
      <c r="I433" s="7">
        <f t="shared" si="41"/>
        <v>8.4605986374060749E-4</v>
      </c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>
      <c r="A434" s="1" t="s">
        <v>477</v>
      </c>
      <c r="B434" s="14">
        <f t="shared" si="37"/>
        <v>499173.95681541401</v>
      </c>
      <c r="C434" s="14">
        <f t="shared" si="38"/>
        <v>99834.791363082812</v>
      </c>
      <c r="D434" s="14"/>
      <c r="E434" s="14">
        <f t="shared" si="39"/>
        <v>149752.18704462421</v>
      </c>
      <c r="F434" s="14">
        <f t="shared" si="40"/>
        <v>886495111.39168489</v>
      </c>
      <c r="G434" s="1"/>
      <c r="H434" s="4">
        <v>886495111.38999999</v>
      </c>
      <c r="I434" s="7">
        <f t="shared" si="41"/>
        <v>8.4534464026985714E-4</v>
      </c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>
      <c r="A435" s="1" t="s">
        <v>478</v>
      </c>
      <c r="B435" s="14">
        <f t="shared" si="37"/>
        <v>499173.95681541401</v>
      </c>
      <c r="C435" s="14">
        <f t="shared" si="38"/>
        <v>99834.791363082812</v>
      </c>
      <c r="D435" s="14"/>
      <c r="E435" s="14">
        <f t="shared" si="39"/>
        <v>149752.18704462421</v>
      </c>
      <c r="F435" s="14">
        <f t="shared" si="40"/>
        <v>887243872.32690799</v>
      </c>
      <c r="G435" s="1"/>
      <c r="H435" s="4">
        <v>887243872.33000004</v>
      </c>
      <c r="I435" s="7">
        <f t="shared" si="41"/>
        <v>8.4463064756896478E-4</v>
      </c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>
      <c r="A436" s="1" t="s">
        <v>479</v>
      </c>
      <c r="B436" s="14">
        <f t="shared" si="37"/>
        <v>499173.95681541401</v>
      </c>
      <c r="C436" s="14">
        <f t="shared" si="38"/>
        <v>99834.791363082812</v>
      </c>
      <c r="D436" s="14"/>
      <c r="E436" s="14">
        <f t="shared" si="39"/>
        <v>149752.18704462421</v>
      </c>
      <c r="F436" s="14">
        <f t="shared" si="40"/>
        <v>887992633.26213109</v>
      </c>
      <c r="G436" s="1"/>
      <c r="H436" s="4">
        <v>887992633.25999999</v>
      </c>
      <c r="I436" s="7">
        <f t="shared" si="41"/>
        <v>8.4391783741894876E-4</v>
      </c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>
      <c r="A437" s="1" t="s">
        <v>480</v>
      </c>
      <c r="B437" s="14">
        <f t="shared" si="37"/>
        <v>499173.95681541401</v>
      </c>
      <c r="C437" s="14">
        <f t="shared" si="38"/>
        <v>99834.791363082812</v>
      </c>
      <c r="D437" s="14"/>
      <c r="E437" s="14">
        <f t="shared" si="39"/>
        <v>149752.18704462421</v>
      </c>
      <c r="F437" s="14">
        <f t="shared" si="40"/>
        <v>888741394.1973542</v>
      </c>
      <c r="G437" s="1"/>
      <c r="H437" s="4">
        <v>888741394.20000005</v>
      </c>
      <c r="I437" s="7">
        <f t="shared" si="41"/>
        <v>8.4320625189333485E-4</v>
      </c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>
      <c r="A438" s="1" t="s">
        <v>481</v>
      </c>
      <c r="B438" s="14">
        <f>B437*(1-$J$1)</f>
        <v>479206.99854279746</v>
      </c>
      <c r="C438" s="14">
        <f t="shared" si="38"/>
        <v>95841.399708559504</v>
      </c>
      <c r="D438" s="14"/>
      <c r="E438" s="14">
        <f t="shared" si="39"/>
        <v>143762.09956283926</v>
      </c>
      <c r="F438" s="14">
        <f t="shared" si="40"/>
        <v>889460204.69516838</v>
      </c>
      <c r="G438" s="1"/>
      <c r="H438" s="4">
        <v>889460204.70000005</v>
      </c>
      <c r="I438" s="7">
        <f t="shared" si="41"/>
        <v>8.0879601725655727E-4</v>
      </c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>
      <c r="A439" s="1" t="s">
        <v>482</v>
      </c>
      <c r="B439" s="14">
        <f t="shared" si="37"/>
        <v>479206.99854279746</v>
      </c>
      <c r="C439" s="14">
        <f t="shared" si="38"/>
        <v>95841.399708559504</v>
      </c>
      <c r="D439" s="14"/>
      <c r="E439" s="14">
        <f t="shared" si="39"/>
        <v>143762.09956283926</v>
      </c>
      <c r="F439" s="14">
        <f t="shared" si="40"/>
        <v>890179015.19298255</v>
      </c>
      <c r="G439" s="1"/>
      <c r="H439" s="4">
        <v>890179015.19000006</v>
      </c>
      <c r="I439" s="7">
        <f t="shared" si="41"/>
        <v>8.0814238366341774E-4</v>
      </c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>
      <c r="A440" s="1" t="s">
        <v>483</v>
      </c>
      <c r="B440" s="14">
        <f t="shared" si="37"/>
        <v>479206.99854279746</v>
      </c>
      <c r="C440" s="14">
        <f t="shared" si="38"/>
        <v>95841.399708559504</v>
      </c>
      <c r="D440" s="14"/>
      <c r="E440" s="14">
        <f t="shared" si="39"/>
        <v>143762.09956283926</v>
      </c>
      <c r="F440" s="14">
        <f t="shared" si="40"/>
        <v>890897825.69079673</v>
      </c>
      <c r="G440" s="1"/>
      <c r="H440" s="4">
        <v>890897825.69000006</v>
      </c>
      <c r="I440" s="7">
        <f t="shared" si="41"/>
        <v>8.0748982815167451E-4</v>
      </c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>
      <c r="A441" s="1" t="s">
        <v>484</v>
      </c>
      <c r="B441" s="14">
        <f t="shared" si="37"/>
        <v>479206.99854279746</v>
      </c>
      <c r="C441" s="14">
        <f t="shared" si="38"/>
        <v>95841.399708559504</v>
      </c>
      <c r="D441" s="14"/>
      <c r="E441" s="14">
        <f t="shared" si="39"/>
        <v>143762.09956283926</v>
      </c>
      <c r="F441" s="14">
        <f t="shared" si="40"/>
        <v>891616636.18861091</v>
      </c>
      <c r="G441" s="1"/>
      <c r="H441" s="4">
        <v>891616636.19000006</v>
      </c>
      <c r="I441" s="7">
        <f t="shared" si="41"/>
        <v>8.0683831441981748E-4</v>
      </c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>
      <c r="A442" s="1" t="s">
        <v>485</v>
      </c>
      <c r="B442" s="14">
        <f t="shared" si="37"/>
        <v>479206.99854279746</v>
      </c>
      <c r="C442" s="14">
        <f t="shared" si="38"/>
        <v>95841.399708559504</v>
      </c>
      <c r="D442" s="14"/>
      <c r="E442" s="14">
        <f t="shared" si="39"/>
        <v>143762.09956283926</v>
      </c>
      <c r="F442" s="14">
        <f t="shared" si="40"/>
        <v>892335446.68642509</v>
      </c>
      <c r="G442" s="1"/>
      <c r="H442" s="4">
        <v>892335446.69000006</v>
      </c>
      <c r="I442" s="7">
        <f t="shared" si="41"/>
        <v>8.0618785117287143E-4</v>
      </c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>
      <c r="A443" s="1" t="s">
        <v>486</v>
      </c>
      <c r="B443" s="14">
        <f t="shared" si="37"/>
        <v>479206.99854279746</v>
      </c>
      <c r="C443" s="14">
        <f t="shared" si="38"/>
        <v>95841.399708559504</v>
      </c>
      <c r="D443" s="14"/>
      <c r="E443" s="14">
        <f t="shared" si="39"/>
        <v>143762.09956283926</v>
      </c>
      <c r="F443" s="14">
        <f t="shared" si="40"/>
        <v>893054257.18423927</v>
      </c>
      <c r="G443" s="1"/>
      <c r="H443" s="4">
        <v>893054257.17999995</v>
      </c>
      <c r="I443" s="7">
        <f t="shared" si="41"/>
        <v>8.0553842466554758E-4</v>
      </c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>
      <c r="A444" s="1" t="s">
        <v>487</v>
      </c>
      <c r="B444" s="14">
        <f t="shared" si="37"/>
        <v>479206.99854279746</v>
      </c>
      <c r="C444" s="14">
        <f t="shared" si="38"/>
        <v>95841.399708559504</v>
      </c>
      <c r="D444" s="14"/>
      <c r="E444" s="14">
        <f t="shared" si="39"/>
        <v>143762.09956283926</v>
      </c>
      <c r="F444" s="14">
        <f t="shared" si="40"/>
        <v>893773067.68205345</v>
      </c>
      <c r="G444" s="1"/>
      <c r="H444" s="4">
        <v>893773067.67999995</v>
      </c>
      <c r="I444" s="7">
        <f t="shared" si="41"/>
        <v>8.0489006599642669E-4</v>
      </c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>
      <c r="A445" s="1" t="s">
        <v>488</v>
      </c>
      <c r="B445" s="14">
        <f t="shared" si="37"/>
        <v>479206.99854279746</v>
      </c>
      <c r="C445" s="14">
        <f t="shared" si="38"/>
        <v>95841.399708559504</v>
      </c>
      <c r="D445" s="14"/>
      <c r="E445" s="14">
        <f t="shared" si="39"/>
        <v>143762.09956283926</v>
      </c>
      <c r="F445" s="14">
        <f t="shared" si="40"/>
        <v>894491878.17986763</v>
      </c>
      <c r="G445" s="1"/>
      <c r="H445" s="4">
        <v>894491878.17999995</v>
      </c>
      <c r="I445" s="7">
        <f t="shared" si="41"/>
        <v>8.0424273900515171E-4</v>
      </c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>
      <c r="A446" s="1" t="s">
        <v>489</v>
      </c>
      <c r="B446" s="14">
        <f t="shared" si="37"/>
        <v>479206.99854279746</v>
      </c>
      <c r="C446" s="14">
        <f t="shared" si="38"/>
        <v>95841.399708559504</v>
      </c>
      <c r="D446" s="14"/>
      <c r="E446" s="14">
        <f t="shared" si="39"/>
        <v>143762.09956283926</v>
      </c>
      <c r="F446" s="14">
        <f t="shared" si="40"/>
        <v>895210688.6776818</v>
      </c>
      <c r="G446" s="1"/>
      <c r="H446" s="4">
        <v>895210688.67999995</v>
      </c>
      <c r="I446" s="7">
        <f t="shared" si="41"/>
        <v>8.0359645239322418E-4</v>
      </c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>
      <c r="A447" s="1" t="s">
        <v>490</v>
      </c>
      <c r="B447" s="14">
        <f t="shared" si="37"/>
        <v>479206.99854279746</v>
      </c>
      <c r="C447" s="14">
        <f t="shared" si="38"/>
        <v>95841.399708559504</v>
      </c>
      <c r="D447" s="14"/>
      <c r="E447" s="14">
        <f t="shared" si="39"/>
        <v>143762.09956283926</v>
      </c>
      <c r="F447" s="14">
        <f t="shared" si="40"/>
        <v>895929499.17549598</v>
      </c>
      <c r="G447" s="1"/>
      <c r="H447" s="4">
        <v>895929499.17999995</v>
      </c>
      <c r="I447" s="7">
        <f t="shared" si="41"/>
        <v>8.0295120365452249E-4</v>
      </c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>
      <c r="A448" s="1" t="s">
        <v>491</v>
      </c>
      <c r="B448" s="14">
        <f t="shared" ref="B448:B511" si="42">B447</f>
        <v>479206.99854279746</v>
      </c>
      <c r="C448" s="14">
        <f t="shared" si="38"/>
        <v>95841.399708559504</v>
      </c>
      <c r="D448" s="14"/>
      <c r="E448" s="14">
        <f t="shared" si="39"/>
        <v>143762.09956283926</v>
      </c>
      <c r="F448" s="14">
        <f t="shared" si="40"/>
        <v>896648309.67331016</v>
      </c>
      <c r="G448" s="1"/>
      <c r="H448" s="4">
        <v>896648309.66999996</v>
      </c>
      <c r="I448" s="7">
        <f t="shared" si="41"/>
        <v>8.023069791293861E-4</v>
      </c>
      <c r="J448" s="7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>
      <c r="A449" s="1" t="s">
        <v>492</v>
      </c>
      <c r="B449" s="14">
        <f t="shared" si="42"/>
        <v>479206.99854279746</v>
      </c>
      <c r="C449" s="14">
        <f t="shared" si="38"/>
        <v>95841.399708559504</v>
      </c>
      <c r="D449" s="14"/>
      <c r="E449" s="14">
        <f t="shared" si="39"/>
        <v>143762.09956283926</v>
      </c>
      <c r="F449" s="14">
        <f t="shared" si="40"/>
        <v>897367120.17112434</v>
      </c>
      <c r="G449" s="1"/>
      <c r="H449" s="4">
        <v>897367120.16999996</v>
      </c>
      <c r="I449" s="7">
        <f t="shared" si="41"/>
        <v>8.0166380982143277E-4</v>
      </c>
      <c r="J449" s="7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>
      <c r="A450" s="1" t="s">
        <v>493</v>
      </c>
      <c r="B450" s="14">
        <f>B449*(1-$J$1)</f>
        <v>460038.71860108554</v>
      </c>
      <c r="C450" s="14">
        <f t="shared" si="38"/>
        <v>92007.743720217113</v>
      </c>
      <c r="D450" s="14"/>
      <c r="E450" s="14">
        <f t="shared" si="39"/>
        <v>138011.61558032566</v>
      </c>
      <c r="F450" s="14">
        <f t="shared" si="40"/>
        <v>898057178.24902594</v>
      </c>
      <c r="G450" s="1"/>
      <c r="H450" s="4">
        <v>898057178.25</v>
      </c>
      <c r="I450" s="7">
        <f t="shared" si="41"/>
        <v>7.689807933561419E-4</v>
      </c>
      <c r="J450" s="7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>
      <c r="A451" s="1" t="s">
        <v>494</v>
      </c>
      <c r="B451" s="14">
        <f t="shared" si="42"/>
        <v>460038.71860108554</v>
      </c>
      <c r="C451" s="14">
        <f t="shared" si="38"/>
        <v>92007.743720217113</v>
      </c>
      <c r="D451" s="14"/>
      <c r="E451" s="14">
        <f t="shared" si="39"/>
        <v>138011.61558032566</v>
      </c>
      <c r="F451" s="14">
        <f t="shared" si="40"/>
        <v>898747236.32692754</v>
      </c>
      <c r="G451" s="1"/>
      <c r="H451" s="4">
        <v>898747236.33000004</v>
      </c>
      <c r="I451" s="7">
        <f t="shared" si="41"/>
        <v>7.6838991626872275E-4</v>
      </c>
      <c r="J451" s="7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>
      <c r="A452" s="1" t="s">
        <v>495</v>
      </c>
      <c r="B452" s="14">
        <f t="shared" si="42"/>
        <v>460038.71860108554</v>
      </c>
      <c r="C452" s="14">
        <f t="shared" si="38"/>
        <v>92007.743720217113</v>
      </c>
      <c r="D452" s="14"/>
      <c r="E452" s="14">
        <f t="shared" si="39"/>
        <v>138011.61558032566</v>
      </c>
      <c r="F452" s="14">
        <f t="shared" si="40"/>
        <v>899437294.40482914</v>
      </c>
      <c r="G452" s="1"/>
      <c r="H452" s="4">
        <v>899437294.39999998</v>
      </c>
      <c r="I452" s="7">
        <f t="shared" si="41"/>
        <v>7.677999354053749E-4</v>
      </c>
      <c r="J452" s="7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>
      <c r="A453" s="1" t="s">
        <v>496</v>
      </c>
      <c r="B453" s="14">
        <f t="shared" si="42"/>
        <v>460038.71860108554</v>
      </c>
      <c r="C453" s="14">
        <f t="shared" si="38"/>
        <v>92007.743720217113</v>
      </c>
      <c r="D453" s="14"/>
      <c r="E453" s="14">
        <f t="shared" si="39"/>
        <v>138011.61558032566</v>
      </c>
      <c r="F453" s="14">
        <f t="shared" si="40"/>
        <v>900127352.48273075</v>
      </c>
      <c r="G453" s="1"/>
      <c r="H453" s="4">
        <v>900127352.48000002</v>
      </c>
      <c r="I453" s="7">
        <f t="shared" si="41"/>
        <v>7.6721088206640293E-4</v>
      </c>
      <c r="J453" s="7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>
      <c r="A454" s="1" t="s">
        <v>497</v>
      </c>
      <c r="B454" s="14">
        <f t="shared" si="42"/>
        <v>460038.71860108554</v>
      </c>
      <c r="C454" s="14">
        <f t="shared" si="38"/>
        <v>92007.743720217113</v>
      </c>
      <c r="D454" s="14"/>
      <c r="E454" s="14">
        <f t="shared" si="39"/>
        <v>138011.61558032566</v>
      </c>
      <c r="F454" s="14">
        <f t="shared" si="40"/>
        <v>900817410.56063235</v>
      </c>
      <c r="G454" s="1"/>
      <c r="H454" s="4">
        <v>900817410.55999994</v>
      </c>
      <c r="I454" s="7">
        <f t="shared" si="41"/>
        <v>7.6662272077245442E-4</v>
      </c>
      <c r="J454" s="7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>
      <c r="A455" s="1" t="s">
        <v>498</v>
      </c>
      <c r="B455" s="14">
        <f t="shared" si="42"/>
        <v>460038.71860108554</v>
      </c>
      <c r="C455" s="14">
        <f t="shared" si="38"/>
        <v>92007.743720217113</v>
      </c>
      <c r="D455" s="14"/>
      <c r="E455" s="14">
        <f t="shared" si="39"/>
        <v>138011.61558032566</v>
      </c>
      <c r="F455" s="14">
        <f t="shared" si="40"/>
        <v>901507468.63853395</v>
      </c>
      <c r="G455" s="1"/>
      <c r="H455" s="4">
        <v>901507468.63999999</v>
      </c>
      <c r="I455" s="7">
        <f t="shared" si="41"/>
        <v>7.6603546058358612E-4</v>
      </c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>
      <c r="A456" s="1" t="s">
        <v>499</v>
      </c>
      <c r="B456" s="14">
        <f t="shared" si="42"/>
        <v>460038.71860108554</v>
      </c>
      <c r="C456" s="14">
        <f t="shared" si="38"/>
        <v>92007.743720217113</v>
      </c>
      <c r="D456" s="14"/>
      <c r="E456" s="14">
        <f t="shared" si="39"/>
        <v>138011.61558032566</v>
      </c>
      <c r="F456" s="14">
        <f t="shared" si="40"/>
        <v>902197526.71643555</v>
      </c>
      <c r="G456" s="1"/>
      <c r="H456" s="4">
        <v>902197526.72000003</v>
      </c>
      <c r="I456" s="7">
        <f t="shared" si="41"/>
        <v>7.6544909943015082E-4</v>
      </c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>
      <c r="A457" s="1" t="s">
        <v>500</v>
      </c>
      <c r="B457" s="14">
        <f t="shared" si="42"/>
        <v>460038.71860108554</v>
      </c>
      <c r="C457" s="14">
        <f t="shared" si="38"/>
        <v>92007.743720217113</v>
      </c>
      <c r="D457" s="14"/>
      <c r="E457" s="14">
        <f t="shared" si="39"/>
        <v>138011.61558032566</v>
      </c>
      <c r="F457" s="14">
        <f t="shared" si="40"/>
        <v>902887584.79433715</v>
      </c>
      <c r="G457" s="1"/>
      <c r="H457" s="4">
        <v>902887584.78999996</v>
      </c>
      <c r="I457" s="7">
        <f t="shared" si="41"/>
        <v>7.6486362416519355E-4</v>
      </c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>
      <c r="A458" s="1" t="s">
        <v>501</v>
      </c>
      <c r="B458" s="14">
        <f t="shared" si="42"/>
        <v>460038.71860108554</v>
      </c>
      <c r="C458" s="14">
        <f t="shared" si="38"/>
        <v>92007.743720217113</v>
      </c>
      <c r="D458" s="14"/>
      <c r="E458" s="14">
        <f t="shared" si="39"/>
        <v>138011.61558032566</v>
      </c>
      <c r="F458" s="14">
        <f t="shared" si="40"/>
        <v>903577642.87223876</v>
      </c>
      <c r="G458" s="1"/>
      <c r="H458" s="4">
        <v>903577642.87</v>
      </c>
      <c r="I458" s="7">
        <f t="shared" si="41"/>
        <v>7.6427906599307329E-4</v>
      </c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>
      <c r="A459" s="1" t="s">
        <v>502</v>
      </c>
      <c r="B459" s="14">
        <f t="shared" si="42"/>
        <v>460038.71860108554</v>
      </c>
      <c r="C459" s="14">
        <f t="shared" si="38"/>
        <v>92007.743720217113</v>
      </c>
      <c r="D459" s="14"/>
      <c r="E459" s="14">
        <f t="shared" si="39"/>
        <v>138011.61558032566</v>
      </c>
      <c r="F459" s="14">
        <f t="shared" si="40"/>
        <v>904267700.95014036</v>
      </c>
      <c r="G459" s="1"/>
      <c r="H459" s="4">
        <v>904267700.95000005</v>
      </c>
      <c r="I459" s="7">
        <f t="shared" si="41"/>
        <v>7.6369538959401113E-4</v>
      </c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>
      <c r="A460" s="1" t="s">
        <v>503</v>
      </c>
      <c r="B460" s="14">
        <f t="shared" si="42"/>
        <v>460038.71860108554</v>
      </c>
      <c r="C460" s="14">
        <f t="shared" si="38"/>
        <v>92007.743720217113</v>
      </c>
      <c r="D460" s="14"/>
      <c r="E460" s="14">
        <f t="shared" si="39"/>
        <v>138011.61558032566</v>
      </c>
      <c r="F460" s="14">
        <f t="shared" si="40"/>
        <v>904957759.02804196</v>
      </c>
      <c r="G460" s="1"/>
      <c r="H460" s="4">
        <v>904957759.02999997</v>
      </c>
      <c r="I460" s="7">
        <f t="shared" si="41"/>
        <v>7.6311260401645071E-4</v>
      </c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>
      <c r="A461" s="1" t="s">
        <v>504</v>
      </c>
      <c r="B461" s="14">
        <f t="shared" si="42"/>
        <v>460038.71860108554</v>
      </c>
      <c r="C461" s="14">
        <f t="shared" ref="C461:C524" si="43">B461*$H$6</f>
        <v>92007.743720217113</v>
      </c>
      <c r="D461" s="14"/>
      <c r="E461" s="14">
        <f t="shared" si="39"/>
        <v>138011.61558032566</v>
      </c>
      <c r="F461" s="14">
        <f t="shared" si="40"/>
        <v>905647817.10594356</v>
      </c>
      <c r="G461" s="1"/>
      <c r="H461" s="4">
        <v>905647817.11000001</v>
      </c>
      <c r="I461" s="7">
        <f t="shared" si="41"/>
        <v>7.6253070722295119E-4</v>
      </c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>
      <c r="A462" s="1" t="s">
        <v>505</v>
      </c>
      <c r="B462" s="14">
        <f>B461*(1-$J$1)</f>
        <v>441637.16985704208</v>
      </c>
      <c r="C462" s="14">
        <f t="shared" si="43"/>
        <v>88327.43397140842</v>
      </c>
      <c r="D462" s="14"/>
      <c r="E462" s="14">
        <f t="shared" si="39"/>
        <v>132491.15095711264</v>
      </c>
      <c r="F462" s="14">
        <f t="shared" si="40"/>
        <v>906310272.8607291</v>
      </c>
      <c r="G462" s="1"/>
      <c r="H462" s="4">
        <v>906310272.86000001</v>
      </c>
      <c r="I462" s="7">
        <f t="shared" si="41"/>
        <v>7.3147170178574847E-4</v>
      </c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>
      <c r="A463" s="1" t="s">
        <v>506</v>
      </c>
      <c r="B463" s="14">
        <f t="shared" si="42"/>
        <v>441637.16985704208</v>
      </c>
      <c r="C463" s="14">
        <f t="shared" si="43"/>
        <v>88327.43397140842</v>
      </c>
      <c r="D463" s="14"/>
      <c r="E463" s="14">
        <f t="shared" si="39"/>
        <v>132491.15095711264</v>
      </c>
      <c r="F463" s="14">
        <f t="shared" si="40"/>
        <v>906972728.61551464</v>
      </c>
      <c r="G463" s="1"/>
      <c r="H463" s="4">
        <v>906972728.62</v>
      </c>
      <c r="I463" s="7">
        <f t="shared" si="41"/>
        <v>7.3093705305745955E-4</v>
      </c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>
      <c r="A464" s="1" t="s">
        <v>507</v>
      </c>
      <c r="B464" s="14">
        <f t="shared" si="42"/>
        <v>441637.16985704208</v>
      </c>
      <c r="C464" s="14">
        <f t="shared" si="43"/>
        <v>88327.43397140842</v>
      </c>
      <c r="D464" s="14"/>
      <c r="E464" s="14">
        <f t="shared" si="39"/>
        <v>132491.15095711264</v>
      </c>
      <c r="F464" s="14">
        <f t="shared" si="40"/>
        <v>907635184.37030017</v>
      </c>
      <c r="G464" s="1"/>
      <c r="H464" s="4">
        <v>907635184.37</v>
      </c>
      <c r="I464" s="7">
        <f t="shared" si="41"/>
        <v>7.3040316328800358E-4</v>
      </c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>
      <c r="A465" s="1" t="s">
        <v>508</v>
      </c>
      <c r="B465" s="14">
        <f t="shared" si="42"/>
        <v>441637.16985704208</v>
      </c>
      <c r="C465" s="14">
        <f t="shared" si="43"/>
        <v>88327.43397140842</v>
      </c>
      <c r="D465" s="14"/>
      <c r="E465" s="14">
        <f t="shared" si="39"/>
        <v>132491.15095711264</v>
      </c>
      <c r="F465" s="14">
        <f t="shared" si="40"/>
        <v>908297640.12508571</v>
      </c>
      <c r="G465" s="1"/>
      <c r="H465" s="4">
        <v>908297640.13</v>
      </c>
      <c r="I465" s="7">
        <f t="shared" si="41"/>
        <v>7.2987007490218512E-4</v>
      </c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>
      <c r="A466" s="1" t="s">
        <v>509</v>
      </c>
      <c r="B466" s="14">
        <f t="shared" si="42"/>
        <v>441637.16985704208</v>
      </c>
      <c r="C466" s="14">
        <f t="shared" si="43"/>
        <v>88327.43397140842</v>
      </c>
      <c r="D466" s="14"/>
      <c r="E466" s="14">
        <f t="shared" si="39"/>
        <v>132491.15095711264</v>
      </c>
      <c r="F466" s="14">
        <f t="shared" si="40"/>
        <v>908960095.87987125</v>
      </c>
      <c r="G466" s="1"/>
      <c r="H466" s="4">
        <v>908960095.88</v>
      </c>
      <c r="I466" s="7">
        <f t="shared" si="41"/>
        <v>7.293377420921033E-4</v>
      </c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>
      <c r="A467" s="1" t="s">
        <v>510</v>
      </c>
      <c r="B467" s="14">
        <f t="shared" si="42"/>
        <v>441637.16985704208</v>
      </c>
      <c r="C467" s="14">
        <f t="shared" si="43"/>
        <v>88327.43397140842</v>
      </c>
      <c r="D467" s="14"/>
      <c r="E467" s="14">
        <f t="shared" ref="E467:E530" si="44">(B467+C467+D467)*25%</f>
        <v>132491.15095711264</v>
      </c>
      <c r="F467" s="14">
        <f t="shared" ref="F467:F530" si="45">F466+SUM(B467:E467)</f>
        <v>909622551.63465679</v>
      </c>
      <c r="G467" s="1"/>
      <c r="H467" s="4">
        <v>909622551.63</v>
      </c>
      <c r="I467" s="7">
        <f t="shared" si="41"/>
        <v>7.2880619622652475E-4</v>
      </c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>
      <c r="A468" s="1" t="s">
        <v>511</v>
      </c>
      <c r="B468" s="14">
        <f t="shared" si="42"/>
        <v>441637.16985704208</v>
      </c>
      <c r="C468" s="14">
        <f t="shared" si="43"/>
        <v>88327.43397140842</v>
      </c>
      <c r="D468" s="14"/>
      <c r="E468" s="14">
        <f t="shared" si="44"/>
        <v>132491.15095711264</v>
      </c>
      <c r="F468" s="14">
        <f t="shared" si="45"/>
        <v>910285007.38944232</v>
      </c>
      <c r="G468" s="1"/>
      <c r="H468" s="4">
        <v>910285007.38999999</v>
      </c>
      <c r="I468" s="7">
        <f t="shared" si="41"/>
        <v>7.2827543557808837E-4</v>
      </c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>
      <c r="A469" s="1" t="s">
        <v>512</v>
      </c>
      <c r="B469" s="14">
        <f t="shared" si="42"/>
        <v>441637.16985704208</v>
      </c>
      <c r="C469" s="14">
        <f t="shared" si="43"/>
        <v>88327.43397140842</v>
      </c>
      <c r="D469" s="14"/>
      <c r="E469" s="14">
        <f t="shared" si="44"/>
        <v>132491.15095711264</v>
      </c>
      <c r="F469" s="14">
        <f t="shared" si="45"/>
        <v>910947463.14422786</v>
      </c>
      <c r="G469" s="1"/>
      <c r="H469" s="4">
        <v>910947463.13999999</v>
      </c>
      <c r="I469" s="7">
        <f t="shared" si="41"/>
        <v>7.2774542546780554E-4</v>
      </c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>
      <c r="A470" s="1" t="s">
        <v>513</v>
      </c>
      <c r="B470" s="14">
        <f t="shared" si="42"/>
        <v>441637.16985704208</v>
      </c>
      <c r="C470" s="14">
        <f t="shared" si="43"/>
        <v>88327.43397140842</v>
      </c>
      <c r="D470" s="14"/>
      <c r="E470" s="14">
        <f t="shared" si="44"/>
        <v>132491.15095711264</v>
      </c>
      <c r="F470" s="14">
        <f t="shared" si="45"/>
        <v>911609918.8990134</v>
      </c>
      <c r="G470" s="1"/>
      <c r="H470" s="4">
        <v>911609918.89999998</v>
      </c>
      <c r="I470" s="7">
        <f t="shared" si="41"/>
        <v>7.2721620818453302E-4</v>
      </c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>
      <c r="A471" s="1" t="s">
        <v>514</v>
      </c>
      <c r="B471" s="14">
        <f t="shared" si="42"/>
        <v>441637.16985704208</v>
      </c>
      <c r="C471" s="14">
        <f t="shared" si="43"/>
        <v>88327.43397140842</v>
      </c>
      <c r="D471" s="14"/>
      <c r="E471" s="14">
        <f t="shared" si="44"/>
        <v>132491.15095711264</v>
      </c>
      <c r="F471" s="14">
        <f t="shared" si="45"/>
        <v>912272374.65379894</v>
      </c>
      <c r="G471" s="1"/>
      <c r="H471" s="4">
        <v>912272374.64999998</v>
      </c>
      <c r="I471" s="7">
        <f t="shared" si="41"/>
        <v>7.2668773810552272E-4</v>
      </c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>
      <c r="A472" s="1" t="s">
        <v>515</v>
      </c>
      <c r="B472" s="14">
        <f t="shared" si="42"/>
        <v>441637.16985704208</v>
      </c>
      <c r="C472" s="14">
        <f t="shared" si="43"/>
        <v>88327.43397140842</v>
      </c>
      <c r="D472" s="14"/>
      <c r="E472" s="14">
        <f t="shared" si="44"/>
        <v>132491.15095711264</v>
      </c>
      <c r="F472" s="14">
        <f t="shared" si="45"/>
        <v>912934830.40858448</v>
      </c>
      <c r="G472" s="1"/>
      <c r="H472" s="4">
        <v>912934830.40999997</v>
      </c>
      <c r="I472" s="7">
        <f t="shared" si="41"/>
        <v>7.2616005746545438E-4</v>
      </c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>
      <c r="A473" s="1" t="s">
        <v>516</v>
      </c>
      <c r="B473" s="14">
        <f t="shared" si="42"/>
        <v>441637.16985704208</v>
      </c>
      <c r="C473" s="14">
        <f t="shared" si="43"/>
        <v>88327.43397140842</v>
      </c>
      <c r="D473" s="14"/>
      <c r="E473" s="14">
        <f t="shared" si="44"/>
        <v>132491.15095711264</v>
      </c>
      <c r="F473" s="14">
        <f t="shared" si="45"/>
        <v>913597286.16337001</v>
      </c>
      <c r="G473" s="1"/>
      <c r="H473" s="4">
        <v>913597286.15999997</v>
      </c>
      <c r="I473" s="7">
        <f t="shared" si="41"/>
        <v>7.2563312071518887E-4</v>
      </c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>
      <c r="A474" s="1" t="s">
        <v>517</v>
      </c>
      <c r="B474" s="14">
        <f>B473*(1-$J$1)</f>
        <v>423971.68306276039</v>
      </c>
      <c r="C474" s="14">
        <f t="shared" si="43"/>
        <v>84794.336612552084</v>
      </c>
      <c r="D474" s="14"/>
      <c r="E474" s="14">
        <f t="shared" si="44"/>
        <v>127191.50491882811</v>
      </c>
      <c r="F474" s="14">
        <f t="shared" si="45"/>
        <v>914233243.6879642</v>
      </c>
      <c r="G474" s="1"/>
      <c r="H474" s="4">
        <v>914233243.69000006</v>
      </c>
      <c r="I474" s="7">
        <f t="shared" si="41"/>
        <v>6.9610269167186885E-4</v>
      </c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>
      <c r="A475" s="1" t="s">
        <v>518</v>
      </c>
      <c r="B475" s="14">
        <f t="shared" si="42"/>
        <v>423971.68306276039</v>
      </c>
      <c r="C475" s="14">
        <f t="shared" si="43"/>
        <v>84794.336612552084</v>
      </c>
      <c r="D475" s="14"/>
      <c r="E475" s="14">
        <f t="shared" si="44"/>
        <v>127191.50491882811</v>
      </c>
      <c r="F475" s="14">
        <f t="shared" si="45"/>
        <v>914869201.21255839</v>
      </c>
      <c r="G475" s="1"/>
      <c r="H475" s="4">
        <v>914869201.21000004</v>
      </c>
      <c r="I475" s="7">
        <f t="shared" si="41"/>
        <v>6.9561845884442877E-4</v>
      </c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>
      <c r="A476" s="1" t="s">
        <v>519</v>
      </c>
      <c r="B476" s="14">
        <f t="shared" si="42"/>
        <v>423971.68306276039</v>
      </c>
      <c r="C476" s="14">
        <f t="shared" si="43"/>
        <v>84794.336612552084</v>
      </c>
      <c r="D476" s="14"/>
      <c r="E476" s="14">
        <f t="shared" si="44"/>
        <v>127191.50491882811</v>
      </c>
      <c r="F476" s="14">
        <f t="shared" si="45"/>
        <v>915505158.73715258</v>
      </c>
      <c r="G476" s="1"/>
      <c r="H476" s="4">
        <v>915505158.74000001</v>
      </c>
      <c r="I476" s="7">
        <f t="shared" si="41"/>
        <v>6.9513492110004154E-4</v>
      </c>
      <c r="J476" s="7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>
      <c r="A477" s="1" t="s">
        <v>520</v>
      </c>
      <c r="B477" s="14">
        <f t="shared" si="42"/>
        <v>423971.68306276039</v>
      </c>
      <c r="C477" s="14">
        <f t="shared" si="43"/>
        <v>84794.336612552084</v>
      </c>
      <c r="D477" s="14"/>
      <c r="E477" s="14">
        <f t="shared" si="44"/>
        <v>127191.50491882811</v>
      </c>
      <c r="F477" s="14">
        <f t="shared" si="45"/>
        <v>916141116.26174676</v>
      </c>
      <c r="G477" s="1"/>
      <c r="H477" s="4">
        <v>916141116.25999999</v>
      </c>
      <c r="I477" s="7">
        <f t="shared" si="41"/>
        <v>6.9465203328317941E-4</v>
      </c>
      <c r="J477" s="7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>
      <c r="A478" s="1" t="s">
        <v>521</v>
      </c>
      <c r="B478" s="14">
        <f t="shared" si="42"/>
        <v>423971.68306276039</v>
      </c>
      <c r="C478" s="14">
        <f t="shared" si="43"/>
        <v>84794.336612552084</v>
      </c>
      <c r="D478" s="14"/>
      <c r="E478" s="14">
        <f t="shared" si="44"/>
        <v>127191.50491882811</v>
      </c>
      <c r="F478" s="14">
        <f t="shared" si="45"/>
        <v>916777073.78634095</v>
      </c>
      <c r="G478" s="1"/>
      <c r="H478" s="4">
        <v>916777073.78999996</v>
      </c>
      <c r="I478" s="7">
        <f t="shared" si="41"/>
        <v>6.9416983771688643E-4</v>
      </c>
      <c r="J478" s="7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>
      <c r="A479" s="1" t="s">
        <v>522</v>
      </c>
      <c r="B479" s="14">
        <f t="shared" si="42"/>
        <v>423971.68306276039</v>
      </c>
      <c r="C479" s="14">
        <f t="shared" si="43"/>
        <v>84794.336612552084</v>
      </c>
      <c r="D479" s="14"/>
      <c r="E479" s="14">
        <f t="shared" si="44"/>
        <v>127191.50491882811</v>
      </c>
      <c r="F479" s="14">
        <f t="shared" si="45"/>
        <v>917413031.31093514</v>
      </c>
      <c r="G479" s="1"/>
      <c r="H479" s="4">
        <v>917413031.30999994</v>
      </c>
      <c r="I479" s="7">
        <f t="shared" si="41"/>
        <v>6.9368828931432849E-4</v>
      </c>
      <c r="J479" s="7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>
      <c r="A480" s="1" t="s">
        <v>523</v>
      </c>
      <c r="B480" s="14">
        <f t="shared" si="42"/>
        <v>423971.68306276039</v>
      </c>
      <c r="C480" s="14">
        <f t="shared" si="43"/>
        <v>84794.336612552084</v>
      </c>
      <c r="D480" s="14"/>
      <c r="E480" s="14">
        <f t="shared" si="44"/>
        <v>127191.50491882811</v>
      </c>
      <c r="F480" s="14">
        <f t="shared" si="45"/>
        <v>918048988.83552933</v>
      </c>
      <c r="G480" s="1"/>
      <c r="H480" s="4">
        <v>918048988.84000003</v>
      </c>
      <c r="I480" s="7">
        <f t="shared" si="41"/>
        <v>6.9320743034572872E-4</v>
      </c>
      <c r="J480" s="7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>
      <c r="A481" s="1" t="s">
        <v>524</v>
      </c>
      <c r="B481" s="14">
        <f t="shared" si="42"/>
        <v>423971.68306276039</v>
      </c>
      <c r="C481" s="14">
        <f t="shared" si="43"/>
        <v>84794.336612552084</v>
      </c>
      <c r="D481" s="14"/>
      <c r="E481" s="14">
        <f t="shared" si="44"/>
        <v>127191.50491882811</v>
      </c>
      <c r="F481" s="14">
        <f t="shared" si="45"/>
        <v>918684946.36012352</v>
      </c>
      <c r="G481" s="1"/>
      <c r="H481" s="4">
        <v>918684946.36000001</v>
      </c>
      <c r="I481" s="7">
        <f t="shared" ref="I481:I544" si="46">(H481-H480)/H480</f>
        <v>6.9272721579220352E-4</v>
      </c>
      <c r="J481" s="7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>
      <c r="A482" s="1" t="s">
        <v>525</v>
      </c>
      <c r="B482" s="14">
        <f t="shared" si="42"/>
        <v>423971.68306276039</v>
      </c>
      <c r="C482" s="14">
        <f t="shared" si="43"/>
        <v>84794.336612552084</v>
      </c>
      <c r="D482" s="14"/>
      <c r="E482" s="14">
        <f t="shared" si="44"/>
        <v>127191.50491882811</v>
      </c>
      <c r="F482" s="14">
        <f t="shared" si="45"/>
        <v>919320903.8847177</v>
      </c>
      <c r="G482" s="1"/>
      <c r="H482" s="4">
        <v>919320903.88</v>
      </c>
      <c r="I482" s="7">
        <f t="shared" si="46"/>
        <v>6.9224767698628615E-4</v>
      </c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>
      <c r="A483" s="1" t="s">
        <v>526</v>
      </c>
      <c r="B483" s="14">
        <f t="shared" si="42"/>
        <v>423971.68306276039</v>
      </c>
      <c r="C483" s="14">
        <f t="shared" si="43"/>
        <v>84794.336612552084</v>
      </c>
      <c r="D483" s="14"/>
      <c r="E483" s="14">
        <f t="shared" si="44"/>
        <v>127191.50491882811</v>
      </c>
      <c r="F483" s="14">
        <f t="shared" si="45"/>
        <v>919956861.40931189</v>
      </c>
      <c r="G483" s="1"/>
      <c r="H483" s="4">
        <v>919956861.40999997</v>
      </c>
      <c r="I483" s="7">
        <f t="shared" si="46"/>
        <v>6.9176881251792322E-4</v>
      </c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>
      <c r="A484" s="1" t="s">
        <v>527</v>
      </c>
      <c r="B484" s="14">
        <f t="shared" si="42"/>
        <v>423971.68306276039</v>
      </c>
      <c r="C484" s="14">
        <f t="shared" si="43"/>
        <v>84794.336612552084</v>
      </c>
      <c r="D484" s="14"/>
      <c r="E484" s="14">
        <f t="shared" si="44"/>
        <v>127191.50491882811</v>
      </c>
      <c r="F484" s="14">
        <f t="shared" si="45"/>
        <v>920592818.93390608</v>
      </c>
      <c r="G484" s="1"/>
      <c r="H484" s="4">
        <v>920592818.92999995</v>
      </c>
      <c r="I484" s="7">
        <f t="shared" si="46"/>
        <v>6.9129058837091688E-4</v>
      </c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>
      <c r="A485" s="1" t="s">
        <v>528</v>
      </c>
      <c r="B485" s="14">
        <f t="shared" si="42"/>
        <v>423971.68306276039</v>
      </c>
      <c r="C485" s="14">
        <f t="shared" si="43"/>
        <v>84794.336612552084</v>
      </c>
      <c r="D485" s="14"/>
      <c r="E485" s="14">
        <f t="shared" si="44"/>
        <v>127191.50491882811</v>
      </c>
      <c r="F485" s="14">
        <f t="shared" si="45"/>
        <v>921228776.45850027</v>
      </c>
      <c r="G485" s="1"/>
      <c r="H485" s="4">
        <v>921228776.46000004</v>
      </c>
      <c r="I485" s="7">
        <f t="shared" si="46"/>
        <v>6.9081304668361485E-4</v>
      </c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>
      <c r="A486" s="1" t="s">
        <v>529</v>
      </c>
      <c r="B486" s="14">
        <f>B485*(1-$J$1)</f>
        <v>407012.81574024993</v>
      </c>
      <c r="C486" s="14">
        <f t="shared" si="43"/>
        <v>81402.563148049987</v>
      </c>
      <c r="D486" s="14"/>
      <c r="E486" s="14">
        <f t="shared" si="44"/>
        <v>122103.84472207498</v>
      </c>
      <c r="F486" s="14">
        <f t="shared" si="45"/>
        <v>921839295.68211067</v>
      </c>
      <c r="G486" s="1"/>
      <c r="H486" s="4">
        <v>921839295.67999995</v>
      </c>
      <c r="I486" s="7">
        <f t="shared" si="46"/>
        <v>6.6272269777106589E-4</v>
      </c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>
      <c r="A487" s="1" t="s">
        <v>530</v>
      </c>
      <c r="B487" s="14">
        <f t="shared" si="42"/>
        <v>407012.81574024993</v>
      </c>
      <c r="C487" s="14">
        <f t="shared" si="43"/>
        <v>81402.563148049987</v>
      </c>
      <c r="D487" s="14"/>
      <c r="E487" s="14">
        <f t="shared" si="44"/>
        <v>122103.84472207498</v>
      </c>
      <c r="F487" s="14">
        <f t="shared" si="45"/>
        <v>922449814.90572107</v>
      </c>
      <c r="G487" s="1"/>
      <c r="H487" s="4">
        <v>922449814.90999997</v>
      </c>
      <c r="I487" s="7">
        <f t="shared" si="46"/>
        <v>6.622837981208711E-4</v>
      </c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>
      <c r="A488" s="1" t="s">
        <v>531</v>
      </c>
      <c r="B488" s="14">
        <f t="shared" si="42"/>
        <v>407012.81574024993</v>
      </c>
      <c r="C488" s="14">
        <f t="shared" si="43"/>
        <v>81402.563148049987</v>
      </c>
      <c r="D488" s="14"/>
      <c r="E488" s="14">
        <f t="shared" si="44"/>
        <v>122103.84472207498</v>
      </c>
      <c r="F488" s="14">
        <f t="shared" si="45"/>
        <v>923060334.12933147</v>
      </c>
      <c r="G488" s="1"/>
      <c r="H488" s="4">
        <v>923060334.13</v>
      </c>
      <c r="I488" s="7">
        <f t="shared" si="46"/>
        <v>6.6184545774947633E-4</v>
      </c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>
      <c r="A489" s="1" t="s">
        <v>532</v>
      </c>
      <c r="B489" s="14">
        <f t="shared" si="42"/>
        <v>407012.81574024993</v>
      </c>
      <c r="C489" s="14">
        <f t="shared" si="43"/>
        <v>81402.563148049987</v>
      </c>
      <c r="D489" s="14"/>
      <c r="E489" s="14">
        <f t="shared" si="44"/>
        <v>122103.84472207498</v>
      </c>
      <c r="F489" s="14">
        <f t="shared" si="45"/>
        <v>923670853.35294187</v>
      </c>
      <c r="G489" s="1"/>
      <c r="H489" s="4">
        <v>923670853.35000002</v>
      </c>
      <c r="I489" s="7">
        <f t="shared" si="46"/>
        <v>6.614077080621749E-4</v>
      </c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>
      <c r="A490" s="1" t="s">
        <v>533</v>
      </c>
      <c r="B490" s="14">
        <f t="shared" si="42"/>
        <v>407012.81574024993</v>
      </c>
      <c r="C490" s="14">
        <f t="shared" si="43"/>
        <v>81402.563148049987</v>
      </c>
      <c r="D490" s="14"/>
      <c r="E490" s="14">
        <f t="shared" si="44"/>
        <v>122103.84472207498</v>
      </c>
      <c r="F490" s="14">
        <f t="shared" si="45"/>
        <v>924281372.57655227</v>
      </c>
      <c r="G490" s="1"/>
      <c r="H490" s="4">
        <v>924281372.58000004</v>
      </c>
      <c r="I490" s="7">
        <f t="shared" si="46"/>
        <v>6.6097054788052229E-4</v>
      </c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>
      <c r="A491" s="1" t="s">
        <v>534</v>
      </c>
      <c r="B491" s="14">
        <f t="shared" si="42"/>
        <v>407012.81574024993</v>
      </c>
      <c r="C491" s="14">
        <f t="shared" si="43"/>
        <v>81402.563148049987</v>
      </c>
      <c r="D491" s="14"/>
      <c r="E491" s="14">
        <f t="shared" si="44"/>
        <v>122103.84472207498</v>
      </c>
      <c r="F491" s="14">
        <f t="shared" si="45"/>
        <v>924891891.80016267</v>
      </c>
      <c r="G491" s="1"/>
      <c r="H491" s="4">
        <v>924891891.79999995</v>
      </c>
      <c r="I491" s="7">
        <f t="shared" si="46"/>
        <v>6.6053394357146005E-4</v>
      </c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>
      <c r="A492" s="1" t="s">
        <v>535</v>
      </c>
      <c r="B492" s="14">
        <f t="shared" si="42"/>
        <v>407012.81574024993</v>
      </c>
      <c r="C492" s="14">
        <f t="shared" si="43"/>
        <v>81402.563148049987</v>
      </c>
      <c r="D492" s="14"/>
      <c r="E492" s="14">
        <f t="shared" si="44"/>
        <v>122103.84472207498</v>
      </c>
      <c r="F492" s="14">
        <f t="shared" si="45"/>
        <v>925502411.02377307</v>
      </c>
      <c r="G492" s="1"/>
      <c r="H492" s="4">
        <v>925502411.01999998</v>
      </c>
      <c r="I492" s="7">
        <f t="shared" si="46"/>
        <v>6.6009792648506456E-4</v>
      </c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>
      <c r="A493" s="1" t="s">
        <v>536</v>
      </c>
      <c r="B493" s="14">
        <f t="shared" si="42"/>
        <v>407012.81574024993</v>
      </c>
      <c r="C493" s="14">
        <f t="shared" si="43"/>
        <v>81402.563148049987</v>
      </c>
      <c r="D493" s="14"/>
      <c r="E493" s="14">
        <f t="shared" si="44"/>
        <v>122103.84472207498</v>
      </c>
      <c r="F493" s="14">
        <f t="shared" si="45"/>
        <v>926112930.24738348</v>
      </c>
      <c r="G493" s="1"/>
      <c r="H493" s="4">
        <v>926112930.25</v>
      </c>
      <c r="I493" s="7">
        <f t="shared" si="46"/>
        <v>6.5966249545170103E-4</v>
      </c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>
      <c r="A494" s="1" t="s">
        <v>537</v>
      </c>
      <c r="B494" s="14">
        <f t="shared" si="42"/>
        <v>407012.81574024993</v>
      </c>
      <c r="C494" s="14">
        <f t="shared" si="43"/>
        <v>81402.563148049987</v>
      </c>
      <c r="D494" s="14"/>
      <c r="E494" s="14">
        <f t="shared" si="44"/>
        <v>122103.84472207498</v>
      </c>
      <c r="F494" s="14">
        <f t="shared" si="45"/>
        <v>926723449.47099388</v>
      </c>
      <c r="G494" s="1"/>
      <c r="H494" s="4">
        <v>926723449.47000003</v>
      </c>
      <c r="I494" s="7">
        <f t="shared" si="46"/>
        <v>6.5922761691192635E-4</v>
      </c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>
      <c r="A495" s="1" t="s">
        <v>538</v>
      </c>
      <c r="B495" s="14">
        <f t="shared" si="42"/>
        <v>407012.81574024993</v>
      </c>
      <c r="C495" s="14">
        <f t="shared" si="43"/>
        <v>81402.563148049987</v>
      </c>
      <c r="D495" s="14"/>
      <c r="E495" s="14">
        <f t="shared" si="44"/>
        <v>122103.84472207498</v>
      </c>
      <c r="F495" s="14">
        <f t="shared" si="45"/>
        <v>927333968.69460428</v>
      </c>
      <c r="G495" s="1"/>
      <c r="H495" s="4">
        <v>927333968.69000006</v>
      </c>
      <c r="I495" s="7">
        <f t="shared" si="46"/>
        <v>6.5879332216012125E-4</v>
      </c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>
      <c r="A496" s="1" t="s">
        <v>539</v>
      </c>
      <c r="B496" s="14">
        <f t="shared" si="42"/>
        <v>407012.81574024993</v>
      </c>
      <c r="C496" s="14">
        <f t="shared" si="43"/>
        <v>81402.563148049987</v>
      </c>
      <c r="D496" s="14"/>
      <c r="E496" s="14">
        <f t="shared" si="44"/>
        <v>122103.84472207498</v>
      </c>
      <c r="F496" s="14">
        <f t="shared" si="45"/>
        <v>927944487.91821468</v>
      </c>
      <c r="G496" s="1"/>
      <c r="H496" s="4">
        <v>927944487.91999996</v>
      </c>
      <c r="I496" s="7">
        <f t="shared" si="46"/>
        <v>6.5835961003601635E-4</v>
      </c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>
      <c r="A497" s="1" t="s">
        <v>540</v>
      </c>
      <c r="B497" s="14">
        <f t="shared" si="42"/>
        <v>407012.81574024993</v>
      </c>
      <c r="C497" s="14">
        <f t="shared" si="43"/>
        <v>81402.563148049987</v>
      </c>
      <c r="D497" s="14"/>
      <c r="E497" s="14">
        <f t="shared" si="44"/>
        <v>122103.84472207498</v>
      </c>
      <c r="F497" s="14">
        <f t="shared" si="45"/>
        <v>928555007.14182508</v>
      </c>
      <c r="G497" s="1"/>
      <c r="H497" s="4">
        <v>928555007.13999999</v>
      </c>
      <c r="I497" s="7">
        <f t="shared" si="46"/>
        <v>6.5792644705343916E-4</v>
      </c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>
      <c r="A498" s="1" t="s">
        <v>541</v>
      </c>
      <c r="B498" s="14">
        <f>B497*(1-$J$1)</f>
        <v>390732.30311063991</v>
      </c>
      <c r="C498" s="14">
        <f t="shared" si="43"/>
        <v>78146.460622127983</v>
      </c>
      <c r="D498" s="14"/>
      <c r="E498" s="14">
        <f t="shared" si="44"/>
        <v>117219.69093319197</v>
      </c>
      <c r="F498" s="14">
        <f t="shared" si="45"/>
        <v>929141105.5964911</v>
      </c>
      <c r="G498" s="1"/>
      <c r="H498" s="4">
        <v>929141105.60000002</v>
      </c>
      <c r="I498" s="7">
        <f t="shared" si="46"/>
        <v>6.3119411935029393E-4</v>
      </c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>
      <c r="A499" s="1" t="s">
        <v>542</v>
      </c>
      <c r="B499" s="14">
        <f t="shared" si="42"/>
        <v>390732.30311063991</v>
      </c>
      <c r="C499" s="14">
        <f t="shared" si="43"/>
        <v>78146.460622127983</v>
      </c>
      <c r="D499" s="14"/>
      <c r="E499" s="14">
        <f t="shared" si="44"/>
        <v>117219.69093319197</v>
      </c>
      <c r="F499" s="14">
        <f t="shared" si="45"/>
        <v>929727204.05115712</v>
      </c>
      <c r="G499" s="1"/>
      <c r="H499" s="4">
        <v>929727204.04999995</v>
      </c>
      <c r="I499" s="7">
        <f t="shared" si="46"/>
        <v>6.3079595388415295E-4</v>
      </c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>
      <c r="A500" s="1" t="s">
        <v>543</v>
      </c>
      <c r="B500" s="14">
        <f t="shared" si="42"/>
        <v>390732.30311063991</v>
      </c>
      <c r="C500" s="14">
        <f t="shared" si="43"/>
        <v>78146.460622127983</v>
      </c>
      <c r="D500" s="14"/>
      <c r="E500" s="14">
        <f t="shared" si="44"/>
        <v>117219.69093319197</v>
      </c>
      <c r="F500" s="14">
        <f t="shared" si="45"/>
        <v>930313302.50582314</v>
      </c>
      <c r="G500" s="1"/>
      <c r="H500" s="4">
        <v>930313302.50999999</v>
      </c>
      <c r="I500" s="7">
        <f t="shared" si="46"/>
        <v>6.3039831194239022E-4</v>
      </c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>
      <c r="A501" s="1" t="s">
        <v>544</v>
      </c>
      <c r="B501" s="14">
        <f t="shared" si="42"/>
        <v>390732.30311063991</v>
      </c>
      <c r="C501" s="14">
        <f t="shared" si="43"/>
        <v>78146.460622127983</v>
      </c>
      <c r="D501" s="14"/>
      <c r="E501" s="14">
        <f t="shared" si="44"/>
        <v>117219.69093319197</v>
      </c>
      <c r="F501" s="14">
        <f t="shared" si="45"/>
        <v>930899400.96048915</v>
      </c>
      <c r="G501" s="1"/>
      <c r="H501" s="4">
        <v>930899400.96000004</v>
      </c>
      <c r="I501" s="7">
        <f t="shared" si="46"/>
        <v>6.3000114952537476E-4</v>
      </c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>
      <c r="A502" s="1" t="s">
        <v>545</v>
      </c>
      <c r="B502" s="14">
        <f t="shared" si="42"/>
        <v>390732.30311063991</v>
      </c>
      <c r="C502" s="14">
        <f t="shared" si="43"/>
        <v>78146.460622127983</v>
      </c>
      <c r="D502" s="14"/>
      <c r="E502" s="14">
        <f t="shared" si="44"/>
        <v>117219.69093319197</v>
      </c>
      <c r="F502" s="14">
        <f t="shared" si="45"/>
        <v>931485499.41515517</v>
      </c>
      <c r="G502" s="1"/>
      <c r="H502" s="4">
        <v>931485499.41999996</v>
      </c>
      <c r="I502" s="7">
        <f t="shared" si="46"/>
        <v>6.2960450871006959E-4</v>
      </c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>
      <c r="A503" s="1" t="s">
        <v>546</v>
      </c>
      <c r="B503" s="14">
        <f t="shared" si="42"/>
        <v>390732.30311063991</v>
      </c>
      <c r="C503" s="14">
        <f t="shared" si="43"/>
        <v>78146.460622127983</v>
      </c>
      <c r="D503" s="14"/>
      <c r="E503" s="14">
        <f t="shared" si="44"/>
        <v>117219.69093319197</v>
      </c>
      <c r="F503" s="14">
        <f t="shared" si="45"/>
        <v>932071597.86982119</v>
      </c>
      <c r="G503" s="1"/>
      <c r="H503" s="4">
        <v>932071597.87</v>
      </c>
      <c r="I503" s="7">
        <f t="shared" si="46"/>
        <v>6.2920834555662815E-4</v>
      </c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>
      <c r="A504" s="1" t="s">
        <v>547</v>
      </c>
      <c r="B504" s="14">
        <f t="shared" si="42"/>
        <v>390732.30311063991</v>
      </c>
      <c r="C504" s="14">
        <f t="shared" si="43"/>
        <v>78146.460622127983</v>
      </c>
      <c r="D504" s="14"/>
      <c r="E504" s="14">
        <f t="shared" si="44"/>
        <v>117219.69093319197</v>
      </c>
      <c r="F504" s="14">
        <f t="shared" si="45"/>
        <v>932657696.32448721</v>
      </c>
      <c r="G504" s="1"/>
      <c r="H504" s="4">
        <v>932657696.32000005</v>
      </c>
      <c r="I504" s="7">
        <f t="shared" si="46"/>
        <v>6.2881269136343034E-4</v>
      </c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>
      <c r="A505" s="1" t="s">
        <v>548</v>
      </c>
      <c r="B505" s="14">
        <f t="shared" si="42"/>
        <v>390732.30311063991</v>
      </c>
      <c r="C505" s="14">
        <f t="shared" si="43"/>
        <v>78146.460622127983</v>
      </c>
      <c r="D505" s="14"/>
      <c r="E505" s="14">
        <f t="shared" si="44"/>
        <v>117219.69093319197</v>
      </c>
      <c r="F505" s="14">
        <f t="shared" si="45"/>
        <v>933243794.77915323</v>
      </c>
      <c r="G505" s="1"/>
      <c r="H505" s="4">
        <v>933243794.77999997</v>
      </c>
      <c r="I505" s="7">
        <f t="shared" si="46"/>
        <v>6.28417545164207E-4</v>
      </c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>
      <c r="A506" s="1" t="s">
        <v>549</v>
      </c>
      <c r="B506" s="14">
        <f t="shared" si="42"/>
        <v>390732.30311063991</v>
      </c>
      <c r="C506" s="14">
        <f t="shared" si="43"/>
        <v>78146.460622127983</v>
      </c>
      <c r="D506" s="14"/>
      <c r="E506" s="14">
        <f t="shared" si="44"/>
        <v>117219.69093319197</v>
      </c>
      <c r="F506" s="14">
        <f t="shared" si="45"/>
        <v>933829893.23381925</v>
      </c>
      <c r="G506" s="1"/>
      <c r="H506" s="4">
        <v>933829893.23000002</v>
      </c>
      <c r="I506" s="7">
        <f t="shared" si="46"/>
        <v>6.2802287384960617E-4</v>
      </c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>
      <c r="A507" s="1" t="s">
        <v>550</v>
      </c>
      <c r="B507" s="14">
        <f t="shared" si="42"/>
        <v>390732.30311063991</v>
      </c>
      <c r="C507" s="14">
        <f t="shared" si="43"/>
        <v>78146.460622127983</v>
      </c>
      <c r="D507" s="14"/>
      <c r="E507" s="14">
        <f t="shared" si="44"/>
        <v>117219.69093319197</v>
      </c>
      <c r="F507" s="14">
        <f t="shared" si="45"/>
        <v>934415991.68848526</v>
      </c>
      <c r="G507" s="1"/>
      <c r="H507" s="4">
        <v>934415991.69000006</v>
      </c>
      <c r="I507" s="7">
        <f t="shared" si="46"/>
        <v>6.2762871937285857E-4</v>
      </c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>
      <c r="A508" s="1" t="s">
        <v>551</v>
      </c>
      <c r="B508" s="14">
        <f t="shared" si="42"/>
        <v>390732.30311063991</v>
      </c>
      <c r="C508" s="14">
        <f t="shared" si="43"/>
        <v>78146.460622127983</v>
      </c>
      <c r="D508" s="14"/>
      <c r="E508" s="14">
        <f t="shared" si="44"/>
        <v>117219.69093319197</v>
      </c>
      <c r="F508" s="14">
        <f t="shared" si="45"/>
        <v>935002090.14315128</v>
      </c>
      <c r="G508" s="1"/>
      <c r="H508" s="4">
        <v>935002090.13999999</v>
      </c>
      <c r="I508" s="7">
        <f t="shared" si="46"/>
        <v>6.2723503794054423E-4</v>
      </c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>
      <c r="A509" s="1" t="s">
        <v>552</v>
      </c>
      <c r="B509" s="14">
        <f t="shared" si="42"/>
        <v>390732.30311063991</v>
      </c>
      <c r="C509" s="14">
        <f t="shared" si="43"/>
        <v>78146.460622127983</v>
      </c>
      <c r="D509" s="14"/>
      <c r="E509" s="14">
        <f t="shared" si="44"/>
        <v>117219.69093319197</v>
      </c>
      <c r="F509" s="14">
        <f t="shared" si="45"/>
        <v>935588188.5978173</v>
      </c>
      <c r="G509" s="1"/>
      <c r="H509" s="4">
        <v>935588188.60000002</v>
      </c>
      <c r="I509" s="7">
        <f t="shared" si="46"/>
        <v>6.268418714575069E-4</v>
      </c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>
      <c r="A510" s="1" t="s">
        <v>553</v>
      </c>
      <c r="B510" s="14">
        <f>B509*(1-$J$1)</f>
        <v>375103.01098621433</v>
      </c>
      <c r="C510" s="14">
        <f t="shared" si="43"/>
        <v>75020.602197242872</v>
      </c>
      <c r="D510" s="14"/>
      <c r="E510" s="14">
        <f t="shared" si="44"/>
        <v>112530.90329586429</v>
      </c>
      <c r="F510" s="14">
        <f t="shared" si="45"/>
        <v>936150843.11429667</v>
      </c>
      <c r="G510" s="1"/>
      <c r="H510" s="4">
        <v>936150843.11000001</v>
      </c>
      <c r="I510" s="7">
        <f t="shared" si="46"/>
        <v>6.0139120700309192E-4</v>
      </c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>
      <c r="A511" s="1" t="s">
        <v>554</v>
      </c>
      <c r="B511" s="14">
        <f t="shared" si="42"/>
        <v>375103.01098621433</v>
      </c>
      <c r="C511" s="14">
        <f t="shared" si="43"/>
        <v>75020.602197242872</v>
      </c>
      <c r="D511" s="14"/>
      <c r="E511" s="14">
        <f t="shared" si="44"/>
        <v>112530.90329586429</v>
      </c>
      <c r="F511" s="14">
        <f t="shared" si="45"/>
        <v>936713497.63077605</v>
      </c>
      <c r="G511" s="1"/>
      <c r="H511" s="4">
        <v>936713497.63</v>
      </c>
      <c r="I511" s="7">
        <f t="shared" si="46"/>
        <v>6.0102976367652284E-4</v>
      </c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>
      <c r="A512" s="1" t="s">
        <v>555</v>
      </c>
      <c r="B512" s="14">
        <f t="shared" ref="B512:B575" si="47">B511</f>
        <v>375103.01098621433</v>
      </c>
      <c r="C512" s="14">
        <f t="shared" si="43"/>
        <v>75020.602197242872</v>
      </c>
      <c r="D512" s="14"/>
      <c r="E512" s="14">
        <f t="shared" si="44"/>
        <v>112530.90329586429</v>
      </c>
      <c r="F512" s="14">
        <f t="shared" si="45"/>
        <v>937276152.14725542</v>
      </c>
      <c r="G512" s="1"/>
      <c r="H512" s="4">
        <v>937276152.14999998</v>
      </c>
      <c r="I512" s="7">
        <f t="shared" si="46"/>
        <v>6.0066874388333877E-4</v>
      </c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>
      <c r="A513" s="1" t="s">
        <v>556</v>
      </c>
      <c r="B513" s="14">
        <f t="shared" si="47"/>
        <v>375103.01098621433</v>
      </c>
      <c r="C513" s="14">
        <f t="shared" si="43"/>
        <v>75020.602197242872</v>
      </c>
      <c r="D513" s="14"/>
      <c r="E513" s="14">
        <f t="shared" si="44"/>
        <v>112530.90329586429</v>
      </c>
      <c r="F513" s="14">
        <f t="shared" si="45"/>
        <v>937838806.66373479</v>
      </c>
      <c r="G513" s="1"/>
      <c r="H513" s="4">
        <v>937838806.65999997</v>
      </c>
      <c r="I513" s="7">
        <f t="shared" si="46"/>
        <v>6.0030814686720451E-4</v>
      </c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>
      <c r="A514" s="1" t="s">
        <v>557</v>
      </c>
      <c r="B514" s="14">
        <f t="shared" si="47"/>
        <v>375103.01098621433</v>
      </c>
      <c r="C514" s="14">
        <f t="shared" si="43"/>
        <v>75020.602197242872</v>
      </c>
      <c r="D514" s="14"/>
      <c r="E514" s="14">
        <f t="shared" si="44"/>
        <v>112530.90329586429</v>
      </c>
      <c r="F514" s="14">
        <f t="shared" si="45"/>
        <v>938401461.18021417</v>
      </c>
      <c r="G514" s="1"/>
      <c r="H514" s="4">
        <v>938401461.17999995</v>
      </c>
      <c r="I514" s="7">
        <f t="shared" si="46"/>
        <v>5.999480038619934E-4</v>
      </c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>
      <c r="A515" s="1" t="s">
        <v>558</v>
      </c>
      <c r="B515" s="14">
        <f t="shared" si="47"/>
        <v>375103.01098621433</v>
      </c>
      <c r="C515" s="14">
        <f t="shared" si="43"/>
        <v>75020.602197242872</v>
      </c>
      <c r="D515" s="14"/>
      <c r="E515" s="14">
        <f t="shared" si="44"/>
        <v>112530.90329586429</v>
      </c>
      <c r="F515" s="14">
        <f t="shared" si="45"/>
        <v>938964115.69669354</v>
      </c>
      <c r="G515" s="1"/>
      <c r="H515" s="4">
        <v>938964115.70000005</v>
      </c>
      <c r="I515" s="7">
        <f t="shared" si="46"/>
        <v>5.9958828206915402E-4</v>
      </c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>
      <c r="A516" s="1" t="s">
        <v>559</v>
      </c>
      <c r="B516" s="14">
        <f t="shared" si="47"/>
        <v>375103.01098621433</v>
      </c>
      <c r="C516" s="14">
        <f t="shared" si="43"/>
        <v>75020.602197242872</v>
      </c>
      <c r="D516" s="14"/>
      <c r="E516" s="14">
        <f t="shared" si="44"/>
        <v>112530.90329586429</v>
      </c>
      <c r="F516" s="14">
        <f t="shared" si="45"/>
        <v>939526770.21317291</v>
      </c>
      <c r="G516" s="1"/>
      <c r="H516" s="4">
        <v>939526770.21000004</v>
      </c>
      <c r="I516" s="7">
        <f t="shared" si="46"/>
        <v>5.9922898073749083E-4</v>
      </c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>
      <c r="A517" s="1" t="s">
        <v>560</v>
      </c>
      <c r="B517" s="14">
        <f t="shared" si="47"/>
        <v>375103.01098621433</v>
      </c>
      <c r="C517" s="14">
        <f t="shared" si="43"/>
        <v>75020.602197242872</v>
      </c>
      <c r="D517" s="14"/>
      <c r="E517" s="14">
        <f t="shared" si="44"/>
        <v>112530.90329586429</v>
      </c>
      <c r="F517" s="14">
        <f t="shared" si="45"/>
        <v>940089424.72965229</v>
      </c>
      <c r="G517" s="1"/>
      <c r="H517" s="4">
        <v>940089424.73000002</v>
      </c>
      <c r="I517" s="7">
        <f t="shared" si="46"/>
        <v>5.9887013104929212E-4</v>
      </c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>
      <c r="A518" s="1" t="s">
        <v>561</v>
      </c>
      <c r="B518" s="14">
        <f t="shared" si="47"/>
        <v>375103.01098621433</v>
      </c>
      <c r="C518" s="14">
        <f t="shared" si="43"/>
        <v>75020.602197242872</v>
      </c>
      <c r="D518" s="14"/>
      <c r="E518" s="14">
        <f t="shared" si="44"/>
        <v>112530.90329586429</v>
      </c>
      <c r="F518" s="14">
        <f t="shared" si="45"/>
        <v>940652079.24613166</v>
      </c>
      <c r="G518" s="1"/>
      <c r="H518" s="4">
        <v>940652079.25</v>
      </c>
      <c r="I518" s="7">
        <f t="shared" si="46"/>
        <v>5.9851170026891754E-4</v>
      </c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>
      <c r="A519" s="1" t="s">
        <v>562</v>
      </c>
      <c r="B519" s="14">
        <f t="shared" si="47"/>
        <v>375103.01098621433</v>
      </c>
      <c r="C519" s="14">
        <f t="shared" si="43"/>
        <v>75020.602197242872</v>
      </c>
      <c r="D519" s="14"/>
      <c r="E519" s="14">
        <f t="shared" si="44"/>
        <v>112530.90329586429</v>
      </c>
      <c r="F519" s="14">
        <f t="shared" si="45"/>
        <v>941214733.76261103</v>
      </c>
      <c r="G519" s="1"/>
      <c r="H519" s="4">
        <v>941214733.75999999</v>
      </c>
      <c r="I519" s="7">
        <f t="shared" si="46"/>
        <v>5.9815368765102372E-4</v>
      </c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>
      <c r="A520" s="1" t="s">
        <v>563</v>
      </c>
      <c r="B520" s="14">
        <f t="shared" si="47"/>
        <v>375103.01098621433</v>
      </c>
      <c r="C520" s="14">
        <f t="shared" si="43"/>
        <v>75020.602197242872</v>
      </c>
      <c r="D520" s="14"/>
      <c r="E520" s="14">
        <f t="shared" si="44"/>
        <v>112530.90329586429</v>
      </c>
      <c r="F520" s="14">
        <f t="shared" si="45"/>
        <v>941777388.2790904</v>
      </c>
      <c r="G520" s="1"/>
      <c r="H520" s="4">
        <v>941777388.27999997</v>
      </c>
      <c r="I520" s="7">
        <f t="shared" si="46"/>
        <v>5.9779612432570776E-4</v>
      </c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>
      <c r="A521" s="1" t="s">
        <v>564</v>
      </c>
      <c r="B521" s="14">
        <f t="shared" si="47"/>
        <v>375103.01098621433</v>
      </c>
      <c r="C521" s="14">
        <f t="shared" si="43"/>
        <v>75020.602197242872</v>
      </c>
      <c r="D521" s="14"/>
      <c r="E521" s="14">
        <f t="shared" si="44"/>
        <v>112530.90329586429</v>
      </c>
      <c r="F521" s="14">
        <f t="shared" si="45"/>
        <v>942340042.79556978</v>
      </c>
      <c r="G521" s="1"/>
      <c r="H521" s="4">
        <v>942340042.79999995</v>
      </c>
      <c r="I521" s="7">
        <f t="shared" si="46"/>
        <v>5.9743897762036524E-4</v>
      </c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>
      <c r="A522" s="1" t="s">
        <v>565</v>
      </c>
      <c r="B522" s="14">
        <f>B521*(1-$J$1)</f>
        <v>360098.89054676576</v>
      </c>
      <c r="C522" s="14">
        <f t="shared" si="43"/>
        <v>72019.778109353152</v>
      </c>
      <c r="D522" s="14"/>
      <c r="E522" s="14">
        <f t="shared" si="44"/>
        <v>108029.66716402973</v>
      </c>
      <c r="F522" s="14">
        <f t="shared" si="45"/>
        <v>942880191.13138998</v>
      </c>
      <c r="G522" s="1"/>
      <c r="H522" s="4">
        <v>942880191.13</v>
      </c>
      <c r="I522" s="7">
        <f t="shared" si="46"/>
        <v>5.7319895734780186E-4</v>
      </c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>
      <c r="A523" s="1" t="s">
        <v>566</v>
      </c>
      <c r="B523" s="14">
        <f t="shared" si="47"/>
        <v>360098.89054676576</v>
      </c>
      <c r="C523" s="14">
        <f t="shared" si="43"/>
        <v>72019.778109353152</v>
      </c>
      <c r="D523" s="14"/>
      <c r="E523" s="14">
        <f t="shared" si="44"/>
        <v>108029.66716402973</v>
      </c>
      <c r="F523" s="14">
        <f t="shared" si="45"/>
        <v>943420339.46721017</v>
      </c>
      <c r="G523" s="1"/>
      <c r="H523" s="4">
        <v>943420339.47000003</v>
      </c>
      <c r="I523" s="7">
        <f t="shared" si="46"/>
        <v>5.7287059912955603E-4</v>
      </c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>
      <c r="A524" s="1" t="s">
        <v>567</v>
      </c>
      <c r="B524" s="14">
        <f t="shared" si="47"/>
        <v>360098.89054676576</v>
      </c>
      <c r="C524" s="14">
        <f t="shared" si="43"/>
        <v>72019.778109353152</v>
      </c>
      <c r="D524" s="14"/>
      <c r="E524" s="14">
        <f t="shared" si="44"/>
        <v>108029.66716402973</v>
      </c>
      <c r="F524" s="14">
        <f t="shared" si="45"/>
        <v>943960487.80303037</v>
      </c>
      <c r="G524" s="1"/>
      <c r="H524" s="4">
        <v>943960487.79999995</v>
      </c>
      <c r="I524" s="7">
        <f t="shared" si="46"/>
        <v>5.7254259570381028E-4</v>
      </c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>
      <c r="A525" s="1" t="s">
        <v>568</v>
      </c>
      <c r="B525" s="14">
        <f t="shared" si="47"/>
        <v>360098.89054676576</v>
      </c>
      <c r="C525" s="14">
        <f t="shared" ref="C525:C588" si="48">B525*$H$6</f>
        <v>72019.778109353152</v>
      </c>
      <c r="D525" s="14"/>
      <c r="E525" s="14">
        <f t="shared" si="44"/>
        <v>108029.66716402973</v>
      </c>
      <c r="F525" s="14">
        <f t="shared" si="45"/>
        <v>944500636.13885057</v>
      </c>
      <c r="G525" s="1"/>
      <c r="H525" s="4">
        <v>944500636.13999999</v>
      </c>
      <c r="I525" s="7">
        <f t="shared" si="46"/>
        <v>5.7221498884863962E-4</v>
      </c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>
      <c r="A526" s="1" t="s">
        <v>569</v>
      </c>
      <c r="B526" s="14">
        <f t="shared" si="47"/>
        <v>360098.89054676576</v>
      </c>
      <c r="C526" s="14">
        <f t="shared" si="48"/>
        <v>72019.778109353152</v>
      </c>
      <c r="D526" s="14"/>
      <c r="E526" s="14">
        <f t="shared" si="44"/>
        <v>108029.66716402973</v>
      </c>
      <c r="F526" s="14">
        <f t="shared" si="45"/>
        <v>945040784.47467077</v>
      </c>
      <c r="G526" s="1"/>
      <c r="H526" s="4">
        <v>945040784.47000003</v>
      </c>
      <c r="I526" s="7">
        <f t="shared" si="46"/>
        <v>5.7188773552078228E-4</v>
      </c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>
      <c r="A527" s="1" t="s">
        <v>570</v>
      </c>
      <c r="B527" s="14">
        <f t="shared" si="47"/>
        <v>360098.89054676576</v>
      </c>
      <c r="C527" s="14">
        <f t="shared" si="48"/>
        <v>72019.778109353152</v>
      </c>
      <c r="D527" s="14"/>
      <c r="E527" s="14">
        <f t="shared" si="44"/>
        <v>108029.66716402973</v>
      </c>
      <c r="F527" s="14">
        <f t="shared" si="45"/>
        <v>945580932.81049097</v>
      </c>
      <c r="G527" s="1"/>
      <c r="H527" s="4">
        <v>945580932.80999994</v>
      </c>
      <c r="I527" s="7">
        <f t="shared" si="46"/>
        <v>5.7156087745233283E-4</v>
      </c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>
      <c r="A528" s="1" t="s">
        <v>571</v>
      </c>
      <c r="B528" s="14">
        <f t="shared" si="47"/>
        <v>360098.89054676576</v>
      </c>
      <c r="C528" s="14">
        <f t="shared" si="48"/>
        <v>72019.778109353152</v>
      </c>
      <c r="D528" s="14"/>
      <c r="E528" s="14">
        <f t="shared" si="44"/>
        <v>108029.66716402973</v>
      </c>
      <c r="F528" s="14">
        <f t="shared" si="45"/>
        <v>946121081.14631116</v>
      </c>
      <c r="G528" s="1"/>
      <c r="H528" s="4">
        <v>946121081.14999998</v>
      </c>
      <c r="I528" s="7">
        <f t="shared" si="46"/>
        <v>5.7123438222772191E-4</v>
      </c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>
      <c r="A529" s="1" t="s">
        <v>572</v>
      </c>
      <c r="B529" s="14">
        <f t="shared" si="47"/>
        <v>360098.89054676576</v>
      </c>
      <c r="C529" s="14">
        <f t="shared" si="48"/>
        <v>72019.778109353152</v>
      </c>
      <c r="D529" s="14"/>
      <c r="E529" s="14">
        <f t="shared" si="44"/>
        <v>108029.66716402973</v>
      </c>
      <c r="F529" s="14">
        <f t="shared" si="45"/>
        <v>946661229.48213136</v>
      </c>
      <c r="G529" s="1"/>
      <c r="H529" s="4">
        <v>946661229.48000002</v>
      </c>
      <c r="I529" s="7">
        <f t="shared" si="46"/>
        <v>5.7090824923116442E-4</v>
      </c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>
      <c r="A530" s="1" t="s">
        <v>573</v>
      </c>
      <c r="B530" s="14">
        <f t="shared" si="47"/>
        <v>360098.89054676576</v>
      </c>
      <c r="C530" s="14">
        <f t="shared" si="48"/>
        <v>72019.778109353152</v>
      </c>
      <c r="D530" s="14"/>
      <c r="E530" s="14">
        <f t="shared" si="44"/>
        <v>108029.66716402973</v>
      </c>
      <c r="F530" s="14">
        <f t="shared" si="45"/>
        <v>947201377.81795156</v>
      </c>
      <c r="G530" s="1"/>
      <c r="H530" s="4">
        <v>947201377.82000005</v>
      </c>
      <c r="I530" s="7">
        <f t="shared" si="46"/>
        <v>5.7058250953906321E-4</v>
      </c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>
      <c r="A531" s="1" t="s">
        <v>574</v>
      </c>
      <c r="B531" s="14">
        <f t="shared" si="47"/>
        <v>360098.89054676576</v>
      </c>
      <c r="C531" s="14">
        <f t="shared" si="48"/>
        <v>72019.778109353152</v>
      </c>
      <c r="D531" s="14"/>
      <c r="E531" s="14">
        <f t="shared" ref="E531:E594" si="49">(B531+C531+D531)*25%</f>
        <v>108029.66716402973</v>
      </c>
      <c r="F531" s="14">
        <f t="shared" ref="F531:F594" si="50">F530+SUM(B531:E531)</f>
        <v>947741526.15377176</v>
      </c>
      <c r="G531" s="1"/>
      <c r="H531" s="4">
        <v>947741526.14999998</v>
      </c>
      <c r="I531" s="7">
        <f t="shared" si="46"/>
        <v>5.7025712023675915E-4</v>
      </c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>
      <c r="A532" s="1" t="s">
        <v>575</v>
      </c>
      <c r="B532" s="14">
        <f t="shared" si="47"/>
        <v>360098.89054676576</v>
      </c>
      <c r="C532" s="14">
        <f t="shared" si="48"/>
        <v>72019.778109353152</v>
      </c>
      <c r="D532" s="14"/>
      <c r="E532" s="14">
        <f t="shared" si="49"/>
        <v>108029.66716402973</v>
      </c>
      <c r="F532" s="14">
        <f t="shared" si="50"/>
        <v>948281674.48959196</v>
      </c>
      <c r="G532" s="1"/>
      <c r="H532" s="4">
        <v>948281674.49000001</v>
      </c>
      <c r="I532" s="7">
        <f t="shared" si="46"/>
        <v>5.6993212294313201E-4</v>
      </c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>
      <c r="A533" s="1" t="s">
        <v>576</v>
      </c>
      <c r="B533" s="14">
        <f t="shared" si="47"/>
        <v>360098.89054676576</v>
      </c>
      <c r="C533" s="14">
        <f t="shared" si="48"/>
        <v>72019.778109353152</v>
      </c>
      <c r="D533" s="14"/>
      <c r="E533" s="14">
        <f t="shared" si="49"/>
        <v>108029.66716402973</v>
      </c>
      <c r="F533" s="14">
        <f t="shared" si="50"/>
        <v>948821822.82541215</v>
      </c>
      <c r="G533" s="1"/>
      <c r="H533" s="4">
        <v>948821822.83000004</v>
      </c>
      <c r="I533" s="7">
        <f t="shared" si="46"/>
        <v>5.6960748533976802E-4</v>
      </c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>
      <c r="A534" s="1" t="s">
        <v>577</v>
      </c>
      <c r="B534" s="14">
        <f>B533*(1-$J$1)</f>
        <v>345694.93492489512</v>
      </c>
      <c r="C534" s="14">
        <f t="shared" si="48"/>
        <v>69138.986984979027</v>
      </c>
      <c r="D534" s="14"/>
      <c r="E534" s="14">
        <f t="shared" si="49"/>
        <v>103708.48047746853</v>
      </c>
      <c r="F534" s="14">
        <f t="shared" si="50"/>
        <v>949340365.22779953</v>
      </c>
      <c r="G534" s="1"/>
      <c r="H534" s="4">
        <v>949340365.23000002</v>
      </c>
      <c r="I534" s="7">
        <f t="shared" si="46"/>
        <v>5.4651188191830104E-4</v>
      </c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>
      <c r="A535" s="1" t="s">
        <v>578</v>
      </c>
      <c r="B535" s="14">
        <f t="shared" si="47"/>
        <v>345694.93492489512</v>
      </c>
      <c r="C535" s="14">
        <f t="shared" si="48"/>
        <v>69138.986984979027</v>
      </c>
      <c r="D535" s="14"/>
      <c r="E535" s="14">
        <f t="shared" si="49"/>
        <v>103708.48047746853</v>
      </c>
      <c r="F535" s="14">
        <f t="shared" si="50"/>
        <v>949858907.63018692</v>
      </c>
      <c r="G535" s="1"/>
      <c r="H535" s="4">
        <v>949858907.63</v>
      </c>
      <c r="I535" s="7">
        <f t="shared" si="46"/>
        <v>5.4621336982163093E-4</v>
      </c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>
      <c r="A536" s="1" t="s">
        <v>579</v>
      </c>
      <c r="B536" s="14">
        <f t="shared" si="47"/>
        <v>345694.93492489512</v>
      </c>
      <c r="C536" s="14">
        <f t="shared" si="48"/>
        <v>69138.986984979027</v>
      </c>
      <c r="D536" s="14"/>
      <c r="E536" s="14">
        <f t="shared" si="49"/>
        <v>103708.48047746853</v>
      </c>
      <c r="F536" s="14">
        <f t="shared" si="50"/>
        <v>950377450.0325743</v>
      </c>
      <c r="G536" s="1"/>
      <c r="H536" s="4">
        <v>950377450.02999997</v>
      </c>
      <c r="I536" s="7">
        <f t="shared" si="46"/>
        <v>5.4591518364953287E-4</v>
      </c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>
      <c r="A537" s="1" t="s">
        <v>580</v>
      </c>
      <c r="B537" s="14">
        <f t="shared" si="47"/>
        <v>345694.93492489512</v>
      </c>
      <c r="C537" s="14">
        <f t="shared" si="48"/>
        <v>69138.986984979027</v>
      </c>
      <c r="D537" s="14"/>
      <c r="E537" s="14">
        <f t="shared" si="49"/>
        <v>103708.48047746853</v>
      </c>
      <c r="F537" s="14">
        <f t="shared" si="50"/>
        <v>950895992.43496168</v>
      </c>
      <c r="G537" s="1"/>
      <c r="H537" s="4">
        <v>950895992.42999995</v>
      </c>
      <c r="I537" s="7">
        <f t="shared" si="46"/>
        <v>5.4561732286851673E-4</v>
      </c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>
      <c r="A538" s="1" t="s">
        <v>581</v>
      </c>
      <c r="B538" s="14">
        <f t="shared" si="47"/>
        <v>345694.93492489512</v>
      </c>
      <c r="C538" s="14">
        <f t="shared" si="48"/>
        <v>69138.986984979027</v>
      </c>
      <c r="D538" s="14"/>
      <c r="E538" s="14">
        <f t="shared" si="49"/>
        <v>103708.48047746853</v>
      </c>
      <c r="F538" s="14">
        <f t="shared" si="50"/>
        <v>951414534.83734906</v>
      </c>
      <c r="G538" s="1"/>
      <c r="H538" s="4">
        <v>951414534.84000003</v>
      </c>
      <c r="I538" s="7">
        <f t="shared" si="46"/>
        <v>5.4531979746276851E-4</v>
      </c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>
      <c r="A539" s="1" t="s">
        <v>582</v>
      </c>
      <c r="B539" s="14">
        <f t="shared" si="47"/>
        <v>345694.93492489512</v>
      </c>
      <c r="C539" s="14">
        <f t="shared" si="48"/>
        <v>69138.986984979027</v>
      </c>
      <c r="D539" s="14"/>
      <c r="E539" s="14">
        <f t="shared" si="49"/>
        <v>103708.48047746853</v>
      </c>
      <c r="F539" s="14">
        <f t="shared" si="50"/>
        <v>951933077.23973644</v>
      </c>
      <c r="G539" s="1"/>
      <c r="H539" s="4">
        <v>951933077.24000001</v>
      </c>
      <c r="I539" s="7">
        <f t="shared" si="46"/>
        <v>5.4502257534585563E-4</v>
      </c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>
      <c r="A540" s="1" t="s">
        <v>583</v>
      </c>
      <c r="B540" s="14">
        <f t="shared" si="47"/>
        <v>345694.93492489512</v>
      </c>
      <c r="C540" s="14">
        <f t="shared" si="48"/>
        <v>69138.986984979027</v>
      </c>
      <c r="D540" s="14"/>
      <c r="E540" s="14">
        <f t="shared" si="49"/>
        <v>103708.48047746853</v>
      </c>
      <c r="F540" s="14">
        <f t="shared" si="50"/>
        <v>952451619.64212382</v>
      </c>
      <c r="G540" s="1"/>
      <c r="H540" s="4">
        <v>952451619.63999999</v>
      </c>
      <c r="I540" s="7">
        <f t="shared" si="46"/>
        <v>5.4472568754877077E-4</v>
      </c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>
      <c r="A541" s="1" t="s">
        <v>584</v>
      </c>
      <c r="B541" s="14">
        <f t="shared" si="47"/>
        <v>345694.93492489512</v>
      </c>
      <c r="C541" s="14">
        <f t="shared" si="48"/>
        <v>69138.986984979027</v>
      </c>
      <c r="D541" s="14"/>
      <c r="E541" s="14">
        <f t="shared" si="49"/>
        <v>103708.48047746853</v>
      </c>
      <c r="F541" s="14">
        <f t="shared" si="50"/>
        <v>952970162.0445112</v>
      </c>
      <c r="G541" s="1"/>
      <c r="H541" s="4">
        <v>952970162.03999996</v>
      </c>
      <c r="I541" s="7">
        <f t="shared" si="46"/>
        <v>5.4442912302041192E-4</v>
      </c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>
      <c r="A542" s="1" t="s">
        <v>585</v>
      </c>
      <c r="B542" s="14">
        <f t="shared" si="47"/>
        <v>345694.93492489512</v>
      </c>
      <c r="C542" s="14">
        <f t="shared" si="48"/>
        <v>69138.986984979027</v>
      </c>
      <c r="D542" s="14"/>
      <c r="E542" s="14">
        <f t="shared" si="49"/>
        <v>103708.48047746853</v>
      </c>
      <c r="F542" s="14">
        <f t="shared" si="50"/>
        <v>953488704.44689858</v>
      </c>
      <c r="G542" s="1"/>
      <c r="H542" s="4">
        <v>953488704.45000005</v>
      </c>
      <c r="I542" s="7">
        <f t="shared" si="46"/>
        <v>5.4413289172669868E-4</v>
      </c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>
      <c r="A543" s="1" t="s">
        <v>586</v>
      </c>
      <c r="B543" s="14">
        <f t="shared" si="47"/>
        <v>345694.93492489512</v>
      </c>
      <c r="C543" s="14">
        <f t="shared" si="48"/>
        <v>69138.986984979027</v>
      </c>
      <c r="D543" s="14"/>
      <c r="E543" s="14">
        <f t="shared" si="49"/>
        <v>103708.48047746853</v>
      </c>
      <c r="F543" s="14">
        <f t="shared" si="50"/>
        <v>954007246.84928596</v>
      </c>
      <c r="G543" s="1"/>
      <c r="H543" s="4">
        <v>954007246.85000002</v>
      </c>
      <c r="I543" s="7">
        <f t="shared" si="46"/>
        <v>5.4383696165450268E-4</v>
      </c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>
      <c r="A544" s="1" t="s">
        <v>587</v>
      </c>
      <c r="B544" s="14">
        <f t="shared" si="47"/>
        <v>345694.93492489512</v>
      </c>
      <c r="C544" s="14">
        <f t="shared" si="48"/>
        <v>69138.986984979027</v>
      </c>
      <c r="D544" s="14"/>
      <c r="E544" s="14">
        <f t="shared" si="49"/>
        <v>103708.48047746853</v>
      </c>
      <c r="F544" s="14">
        <f t="shared" si="50"/>
        <v>954525789.25167334</v>
      </c>
      <c r="G544" s="1"/>
      <c r="H544" s="4">
        <v>954525789.25</v>
      </c>
      <c r="I544" s="7">
        <f t="shared" si="46"/>
        <v>5.4354136377069611E-4</v>
      </c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>
      <c r="A545" s="1" t="s">
        <v>588</v>
      </c>
      <c r="B545" s="14">
        <f t="shared" si="47"/>
        <v>345694.93492489512</v>
      </c>
      <c r="C545" s="14">
        <f t="shared" si="48"/>
        <v>69138.986984979027</v>
      </c>
      <c r="D545" s="14"/>
      <c r="E545" s="14">
        <f t="shared" si="49"/>
        <v>103708.48047746853</v>
      </c>
      <c r="F545" s="14">
        <f t="shared" si="50"/>
        <v>955044331.65406072</v>
      </c>
      <c r="G545" s="1"/>
      <c r="H545" s="4">
        <v>955044331.64999998</v>
      </c>
      <c r="I545" s="7">
        <f t="shared" ref="I545:I608" si="51">(H545-H544)/H544</f>
        <v>5.4324608705167701E-4</v>
      </c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>
      <c r="A546" s="1" t="s">
        <v>589</v>
      </c>
      <c r="B546" s="14">
        <f>B545*(1-$J$1)</f>
        <v>331867.13752789929</v>
      </c>
      <c r="C546" s="14">
        <f t="shared" si="48"/>
        <v>66373.427505579864</v>
      </c>
      <c r="D546" s="14"/>
      <c r="E546" s="14">
        <f t="shared" si="49"/>
        <v>99560.141258369782</v>
      </c>
      <c r="F546" s="14">
        <f t="shared" si="50"/>
        <v>955542132.36035252</v>
      </c>
      <c r="G546" s="1"/>
      <c r="H546" s="4">
        <v>955542132.36000001</v>
      </c>
      <c r="I546" s="7">
        <f t="shared" si="51"/>
        <v>5.212330920178371E-4</v>
      </c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>
      <c r="A547" s="1" t="s">
        <v>590</v>
      </c>
      <c r="B547" s="14">
        <f t="shared" si="47"/>
        <v>331867.13752789929</v>
      </c>
      <c r="C547" s="14">
        <f t="shared" si="48"/>
        <v>66373.427505579864</v>
      </c>
      <c r="D547" s="14"/>
      <c r="E547" s="14">
        <f t="shared" si="49"/>
        <v>99560.141258369782</v>
      </c>
      <c r="F547" s="14">
        <f t="shared" si="50"/>
        <v>956039933.06664431</v>
      </c>
      <c r="G547" s="1"/>
      <c r="H547" s="4">
        <v>956039933.07000005</v>
      </c>
      <c r="I547" s="7">
        <f t="shared" si="51"/>
        <v>5.2096154961850697E-4</v>
      </c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>
      <c r="A548" s="1" t="s">
        <v>591</v>
      </c>
      <c r="B548" s="14">
        <f t="shared" si="47"/>
        <v>331867.13752789929</v>
      </c>
      <c r="C548" s="14">
        <f t="shared" si="48"/>
        <v>66373.427505579864</v>
      </c>
      <c r="D548" s="14"/>
      <c r="E548" s="14">
        <f t="shared" si="49"/>
        <v>99560.141258369782</v>
      </c>
      <c r="F548" s="14">
        <f t="shared" si="50"/>
        <v>956537733.77293611</v>
      </c>
      <c r="G548" s="1"/>
      <c r="H548" s="4">
        <v>956537733.76999998</v>
      </c>
      <c r="I548" s="7">
        <f t="shared" si="51"/>
        <v>5.2069027953822945E-4</v>
      </c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>
      <c r="A549" s="1" t="s">
        <v>592</v>
      </c>
      <c r="B549" s="14">
        <f t="shared" si="47"/>
        <v>331867.13752789929</v>
      </c>
      <c r="C549" s="14">
        <f t="shared" si="48"/>
        <v>66373.427505579864</v>
      </c>
      <c r="D549" s="14"/>
      <c r="E549" s="14">
        <f t="shared" si="49"/>
        <v>99560.141258369782</v>
      </c>
      <c r="F549" s="14">
        <f t="shared" si="50"/>
        <v>957035534.4792279</v>
      </c>
      <c r="G549" s="1"/>
      <c r="H549" s="4">
        <v>957035534.48000002</v>
      </c>
      <c r="I549" s="7">
        <f t="shared" si="51"/>
        <v>5.2041931272074063E-4</v>
      </c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>
      <c r="A550" s="1" t="s">
        <v>593</v>
      </c>
      <c r="B550" s="14">
        <f t="shared" si="47"/>
        <v>331867.13752789929</v>
      </c>
      <c r="C550" s="14">
        <f t="shared" si="48"/>
        <v>66373.427505579864</v>
      </c>
      <c r="D550" s="14"/>
      <c r="E550" s="14">
        <f t="shared" si="49"/>
        <v>99560.141258369782</v>
      </c>
      <c r="F550" s="14">
        <f t="shared" si="50"/>
        <v>957533335.1855197</v>
      </c>
      <c r="G550" s="1"/>
      <c r="H550" s="4">
        <v>957533335.19000006</v>
      </c>
      <c r="I550" s="7">
        <f t="shared" si="51"/>
        <v>5.2014861733479462E-4</v>
      </c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>
      <c r="A551" s="1" t="s">
        <v>594</v>
      </c>
      <c r="B551" s="14">
        <f t="shared" si="47"/>
        <v>331867.13752789929</v>
      </c>
      <c r="C551" s="14">
        <f t="shared" si="48"/>
        <v>66373.427505579864</v>
      </c>
      <c r="D551" s="14"/>
      <c r="E551" s="14">
        <f t="shared" si="49"/>
        <v>99560.141258369782</v>
      </c>
      <c r="F551" s="14">
        <f t="shared" si="50"/>
        <v>958031135.89181149</v>
      </c>
      <c r="G551" s="1"/>
      <c r="H551" s="4">
        <v>958031135.88999999</v>
      </c>
      <c r="I551" s="7">
        <f t="shared" si="51"/>
        <v>5.1987819296249525E-4</v>
      </c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>
      <c r="A552" s="1" t="s">
        <v>595</v>
      </c>
      <c r="B552" s="14">
        <f t="shared" si="47"/>
        <v>331867.13752789929</v>
      </c>
      <c r="C552" s="14">
        <f t="shared" si="48"/>
        <v>66373.427505579864</v>
      </c>
      <c r="D552" s="14"/>
      <c r="E552" s="14">
        <f t="shared" si="49"/>
        <v>99560.141258369782</v>
      </c>
      <c r="F552" s="14">
        <f t="shared" si="50"/>
        <v>958528936.59810328</v>
      </c>
      <c r="G552" s="1"/>
      <c r="H552" s="4">
        <v>958528936.60000002</v>
      </c>
      <c r="I552" s="7">
        <f t="shared" si="51"/>
        <v>5.1960807050136946E-4</v>
      </c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>
      <c r="A553" s="1" t="s">
        <v>596</v>
      </c>
      <c r="B553" s="14">
        <f t="shared" si="47"/>
        <v>331867.13752789929</v>
      </c>
      <c r="C553" s="14">
        <f t="shared" si="48"/>
        <v>66373.427505579864</v>
      </c>
      <c r="D553" s="14"/>
      <c r="E553" s="14">
        <f t="shared" si="49"/>
        <v>99560.141258369782</v>
      </c>
      <c r="F553" s="14">
        <f t="shared" si="50"/>
        <v>959026737.30439508</v>
      </c>
      <c r="G553" s="1"/>
      <c r="H553" s="4">
        <v>959026737.29999995</v>
      </c>
      <c r="I553" s="7">
        <f t="shared" si="51"/>
        <v>5.193382077391199E-4</v>
      </c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>
      <c r="A554" s="1" t="s">
        <v>597</v>
      </c>
      <c r="B554" s="14">
        <f t="shared" si="47"/>
        <v>331867.13752789929</v>
      </c>
      <c r="C554" s="14">
        <f t="shared" si="48"/>
        <v>66373.427505579864</v>
      </c>
      <c r="D554" s="14"/>
      <c r="E554" s="14">
        <f t="shared" si="49"/>
        <v>99560.141258369782</v>
      </c>
      <c r="F554" s="14">
        <f t="shared" si="50"/>
        <v>959524538.01068687</v>
      </c>
      <c r="G554" s="1"/>
      <c r="H554" s="4">
        <v>959524538.00999999</v>
      </c>
      <c r="I554" s="7">
        <f t="shared" si="51"/>
        <v>5.1906864599158469E-4</v>
      </c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>
      <c r="A555" s="1" t="s">
        <v>598</v>
      </c>
      <c r="B555" s="14">
        <f t="shared" si="47"/>
        <v>331867.13752789929</v>
      </c>
      <c r="C555" s="14">
        <f t="shared" si="48"/>
        <v>66373.427505579864</v>
      </c>
      <c r="D555" s="14"/>
      <c r="E555" s="14">
        <f t="shared" si="49"/>
        <v>99560.141258369782</v>
      </c>
      <c r="F555" s="14">
        <f t="shared" si="50"/>
        <v>960022338.71697867</v>
      </c>
      <c r="G555" s="1"/>
      <c r="H555" s="4">
        <v>960022338.72000003</v>
      </c>
      <c r="I555" s="7">
        <f t="shared" si="51"/>
        <v>5.187993535136151E-4</v>
      </c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>
      <c r="A556" s="1" t="s">
        <v>599</v>
      </c>
      <c r="B556" s="14">
        <f t="shared" si="47"/>
        <v>331867.13752789929</v>
      </c>
      <c r="C556" s="14">
        <f t="shared" si="48"/>
        <v>66373.427505579864</v>
      </c>
      <c r="D556" s="14"/>
      <c r="E556" s="14">
        <f t="shared" si="49"/>
        <v>99560.141258369782</v>
      </c>
      <c r="F556" s="14">
        <f t="shared" si="50"/>
        <v>960520139.42327046</v>
      </c>
      <c r="G556" s="1"/>
      <c r="H556" s="4">
        <v>960520139.41999996</v>
      </c>
      <c r="I556" s="7">
        <f t="shared" si="51"/>
        <v>5.1853032989174739E-4</v>
      </c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>
      <c r="A557" s="1" t="s">
        <v>600</v>
      </c>
      <c r="B557" s="14">
        <f t="shared" si="47"/>
        <v>331867.13752789929</v>
      </c>
      <c r="C557" s="14">
        <f t="shared" si="48"/>
        <v>66373.427505579864</v>
      </c>
      <c r="D557" s="14"/>
      <c r="E557" s="14">
        <f t="shared" si="49"/>
        <v>99560.141258369782</v>
      </c>
      <c r="F557" s="14">
        <f t="shared" si="50"/>
        <v>961017940.12956226</v>
      </c>
      <c r="G557" s="1"/>
      <c r="H557" s="4">
        <v>961017940.13</v>
      </c>
      <c r="I557" s="7">
        <f t="shared" si="51"/>
        <v>5.1826160594678407E-4</v>
      </c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>
      <c r="A558" s="1" t="s">
        <v>601</v>
      </c>
      <c r="B558" s="14">
        <f>B557*(1-$J$1)</f>
        <v>318592.45202678331</v>
      </c>
      <c r="C558" s="14">
        <f t="shared" si="48"/>
        <v>63718.490405356664</v>
      </c>
      <c r="D558" s="14"/>
      <c r="E558" s="14">
        <f t="shared" si="49"/>
        <v>95577.735608035</v>
      </c>
      <c r="F558" s="14">
        <f t="shared" si="50"/>
        <v>961495828.80760241</v>
      </c>
      <c r="G558" s="1"/>
      <c r="H558" s="4">
        <v>961495828.80999994</v>
      </c>
      <c r="I558" s="7">
        <f t="shared" si="51"/>
        <v>4.9727342232060937E-4</v>
      </c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>
      <c r="A559" s="1" t="s">
        <v>602</v>
      </c>
      <c r="B559" s="14">
        <f t="shared" si="47"/>
        <v>318592.45202678331</v>
      </c>
      <c r="C559" s="14">
        <f t="shared" si="48"/>
        <v>63718.490405356664</v>
      </c>
      <c r="D559" s="14"/>
      <c r="E559" s="14">
        <f t="shared" si="49"/>
        <v>95577.735608035</v>
      </c>
      <c r="F559" s="14">
        <f t="shared" si="50"/>
        <v>961973717.48564255</v>
      </c>
      <c r="G559" s="1"/>
      <c r="H559" s="4">
        <v>961973717.49000001</v>
      </c>
      <c r="I559" s="7">
        <f t="shared" si="51"/>
        <v>4.9702626436926728E-4</v>
      </c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>
      <c r="A560" s="1" t="s">
        <v>603</v>
      </c>
      <c r="B560" s="14">
        <f t="shared" si="47"/>
        <v>318592.45202678331</v>
      </c>
      <c r="C560" s="14">
        <f t="shared" si="48"/>
        <v>63718.490405356664</v>
      </c>
      <c r="D560" s="14"/>
      <c r="E560" s="14">
        <f t="shared" si="49"/>
        <v>95577.735608035</v>
      </c>
      <c r="F560" s="14">
        <f t="shared" si="50"/>
        <v>962451606.1636827</v>
      </c>
      <c r="G560" s="1"/>
      <c r="H560" s="4">
        <v>962451606.15999997</v>
      </c>
      <c r="I560" s="7">
        <f t="shared" si="51"/>
        <v>4.9677934158832656E-4</v>
      </c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>
      <c r="A561" s="1" t="s">
        <v>604</v>
      </c>
      <c r="B561" s="14">
        <f t="shared" si="47"/>
        <v>318592.45202678331</v>
      </c>
      <c r="C561" s="14">
        <f t="shared" si="48"/>
        <v>63718.490405356664</v>
      </c>
      <c r="D561" s="14"/>
      <c r="E561" s="14">
        <f t="shared" si="49"/>
        <v>95577.735608035</v>
      </c>
      <c r="F561" s="14">
        <f t="shared" si="50"/>
        <v>962929494.84172285</v>
      </c>
      <c r="G561" s="1"/>
      <c r="H561" s="4">
        <v>962929494.84000003</v>
      </c>
      <c r="I561" s="7">
        <f t="shared" si="51"/>
        <v>4.9653268480350117E-4</v>
      </c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>
      <c r="A562" s="1" t="s">
        <v>605</v>
      </c>
      <c r="B562" s="14">
        <f t="shared" si="47"/>
        <v>318592.45202678331</v>
      </c>
      <c r="C562" s="14">
        <f t="shared" si="48"/>
        <v>63718.490405356664</v>
      </c>
      <c r="D562" s="14"/>
      <c r="E562" s="14">
        <f t="shared" si="49"/>
        <v>95577.735608035</v>
      </c>
      <c r="F562" s="14">
        <f t="shared" si="50"/>
        <v>963407383.51976299</v>
      </c>
      <c r="G562" s="1"/>
      <c r="H562" s="4">
        <v>963407383.51999998</v>
      </c>
      <c r="I562" s="7">
        <f t="shared" si="51"/>
        <v>4.9628626245305047E-4</v>
      </c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>
      <c r="A563" s="1" t="s">
        <v>606</v>
      </c>
      <c r="B563" s="14">
        <f t="shared" si="47"/>
        <v>318592.45202678331</v>
      </c>
      <c r="C563" s="14">
        <f t="shared" si="48"/>
        <v>63718.490405356664</v>
      </c>
      <c r="D563" s="14"/>
      <c r="E563" s="14">
        <f t="shared" si="49"/>
        <v>95577.735608035</v>
      </c>
      <c r="F563" s="14">
        <f t="shared" si="50"/>
        <v>963885272.19780314</v>
      </c>
      <c r="G563" s="1"/>
      <c r="H563" s="4">
        <v>963885272.20000005</v>
      </c>
      <c r="I563" s="7">
        <f t="shared" si="51"/>
        <v>4.9604008457357438E-4</v>
      </c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>
      <c r="A564" s="1" t="s">
        <v>607</v>
      </c>
      <c r="B564" s="14">
        <f t="shared" si="47"/>
        <v>318592.45202678331</v>
      </c>
      <c r="C564" s="14">
        <f t="shared" si="48"/>
        <v>63718.490405356664</v>
      </c>
      <c r="D564" s="14"/>
      <c r="E564" s="14">
        <f t="shared" si="49"/>
        <v>95577.735608035</v>
      </c>
      <c r="F564" s="14">
        <f t="shared" si="50"/>
        <v>964363160.87584329</v>
      </c>
      <c r="G564" s="1"/>
      <c r="H564" s="4">
        <v>964363160.88</v>
      </c>
      <c r="I564" s="7">
        <f t="shared" si="51"/>
        <v>4.9579415080095617E-4</v>
      </c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>
      <c r="A565" s="1" t="s">
        <v>608</v>
      </c>
      <c r="B565" s="14">
        <f t="shared" si="47"/>
        <v>318592.45202678331</v>
      </c>
      <c r="C565" s="14">
        <f t="shared" si="48"/>
        <v>63718.490405356664</v>
      </c>
      <c r="D565" s="14"/>
      <c r="E565" s="14">
        <f t="shared" si="49"/>
        <v>95577.735608035</v>
      </c>
      <c r="F565" s="14">
        <f t="shared" si="50"/>
        <v>964841049.55388343</v>
      </c>
      <c r="G565" s="1"/>
      <c r="H565" s="4">
        <v>964841049.54999995</v>
      </c>
      <c r="I565" s="7">
        <f t="shared" si="51"/>
        <v>4.95548450403139E-4</v>
      </c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>
      <c r="A566" s="1" t="s">
        <v>609</v>
      </c>
      <c r="B566" s="14">
        <f t="shared" si="47"/>
        <v>318592.45202678331</v>
      </c>
      <c r="C566" s="14">
        <f t="shared" si="48"/>
        <v>63718.490405356664</v>
      </c>
      <c r="D566" s="14"/>
      <c r="E566" s="14">
        <f t="shared" si="49"/>
        <v>95577.735608035</v>
      </c>
      <c r="F566" s="14">
        <f t="shared" si="50"/>
        <v>965318938.23192358</v>
      </c>
      <c r="G566" s="1"/>
      <c r="H566" s="4">
        <v>965318938.23000002</v>
      </c>
      <c r="I566" s="7">
        <f t="shared" si="51"/>
        <v>4.9530301413165732E-4</v>
      </c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>
      <c r="A567" s="1" t="s">
        <v>610</v>
      </c>
      <c r="B567" s="14">
        <f t="shared" si="47"/>
        <v>318592.45202678331</v>
      </c>
      <c r="C567" s="14">
        <f t="shared" si="48"/>
        <v>63718.490405356664</v>
      </c>
      <c r="D567" s="14"/>
      <c r="E567" s="14">
        <f t="shared" si="49"/>
        <v>95577.735608035</v>
      </c>
      <c r="F567" s="14">
        <f t="shared" si="50"/>
        <v>965796826.90996373</v>
      </c>
      <c r="G567" s="1"/>
      <c r="H567" s="4">
        <v>965796826.90999997</v>
      </c>
      <c r="I567" s="7">
        <f t="shared" si="51"/>
        <v>4.9505781050582091E-4</v>
      </c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>
      <c r="A568" s="1" t="s">
        <v>611</v>
      </c>
      <c r="B568" s="14">
        <f t="shared" si="47"/>
        <v>318592.45202678331</v>
      </c>
      <c r="C568" s="14">
        <f t="shared" si="48"/>
        <v>63718.490405356664</v>
      </c>
      <c r="D568" s="14"/>
      <c r="E568" s="14">
        <f t="shared" si="49"/>
        <v>95577.735608035</v>
      </c>
      <c r="F568" s="14">
        <f t="shared" si="50"/>
        <v>966274715.58800387</v>
      </c>
      <c r="G568" s="1"/>
      <c r="H568" s="4">
        <v>966274715.59000003</v>
      </c>
      <c r="I568" s="7">
        <f t="shared" si="51"/>
        <v>4.9481284954004093E-4</v>
      </c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>
      <c r="A569" s="1" t="s">
        <v>612</v>
      </c>
      <c r="B569" s="14">
        <f t="shared" si="47"/>
        <v>318592.45202678331</v>
      </c>
      <c r="C569" s="14">
        <f t="shared" si="48"/>
        <v>63718.490405356664</v>
      </c>
      <c r="D569" s="14"/>
      <c r="E569" s="14">
        <f t="shared" si="49"/>
        <v>95577.735608035</v>
      </c>
      <c r="F569" s="14">
        <f t="shared" si="50"/>
        <v>966752604.26604402</v>
      </c>
      <c r="G569" s="1"/>
      <c r="H569" s="4">
        <v>966752604.26999998</v>
      </c>
      <c r="I569" s="7">
        <f t="shared" si="51"/>
        <v>4.9456813087378818E-4</v>
      </c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>
      <c r="A570" s="1" t="s">
        <v>613</v>
      </c>
      <c r="B570" s="14">
        <f>B569*(1-$J$1)</f>
        <v>305848.75394571194</v>
      </c>
      <c r="C570" s="14">
        <f t="shared" si="48"/>
        <v>61169.750789142388</v>
      </c>
      <c r="D570" s="14"/>
      <c r="E570" s="14">
        <f t="shared" si="49"/>
        <v>91754.626183713583</v>
      </c>
      <c r="F570" s="14">
        <f t="shared" si="50"/>
        <v>967211377.39696264</v>
      </c>
      <c r="G570" s="1"/>
      <c r="H570" s="4">
        <v>967211377.39999998</v>
      </c>
      <c r="I570" s="7">
        <f t="shared" si="51"/>
        <v>4.7455070508593795E-4</v>
      </c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>
      <c r="A571" s="1" t="s">
        <v>614</v>
      </c>
      <c r="B571" s="14">
        <f t="shared" si="47"/>
        <v>305848.75394571194</v>
      </c>
      <c r="C571" s="14">
        <f t="shared" si="48"/>
        <v>61169.750789142388</v>
      </c>
      <c r="D571" s="14"/>
      <c r="E571" s="14">
        <f t="shared" si="49"/>
        <v>91754.626183713583</v>
      </c>
      <c r="F571" s="14">
        <f t="shared" si="50"/>
        <v>967670150.52788126</v>
      </c>
      <c r="G571" s="1"/>
      <c r="H571" s="4">
        <v>967670150.52999997</v>
      </c>
      <c r="I571" s="7">
        <f t="shared" si="51"/>
        <v>4.7432561353159618E-4</v>
      </c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>
      <c r="A572" s="1" t="s">
        <v>615</v>
      </c>
      <c r="B572" s="14">
        <f t="shared" si="47"/>
        <v>305848.75394571194</v>
      </c>
      <c r="C572" s="14">
        <f t="shared" si="48"/>
        <v>61169.750789142388</v>
      </c>
      <c r="D572" s="14"/>
      <c r="E572" s="14">
        <f t="shared" si="49"/>
        <v>91754.626183713583</v>
      </c>
      <c r="F572" s="14">
        <f t="shared" si="50"/>
        <v>968128923.65879989</v>
      </c>
      <c r="G572" s="1"/>
      <c r="H572" s="4">
        <v>968128923.65999997</v>
      </c>
      <c r="I572" s="7">
        <f t="shared" si="51"/>
        <v>4.7410073540939736E-4</v>
      </c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>
      <c r="A573" s="1" t="s">
        <v>616</v>
      </c>
      <c r="B573" s="14">
        <f t="shared" si="47"/>
        <v>305848.75394571194</v>
      </c>
      <c r="C573" s="14">
        <f t="shared" si="48"/>
        <v>61169.750789142388</v>
      </c>
      <c r="D573" s="14"/>
      <c r="E573" s="14">
        <f t="shared" si="49"/>
        <v>91754.626183713583</v>
      </c>
      <c r="F573" s="14">
        <f t="shared" si="50"/>
        <v>968587696.78971851</v>
      </c>
      <c r="G573" s="1"/>
      <c r="H573" s="4">
        <v>968587696.78999996</v>
      </c>
      <c r="I573" s="7">
        <f t="shared" si="51"/>
        <v>4.7387607041592025E-4</v>
      </c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>
      <c r="A574" s="1" t="s">
        <v>617</v>
      </c>
      <c r="B574" s="14">
        <f t="shared" si="47"/>
        <v>305848.75394571194</v>
      </c>
      <c r="C574" s="14">
        <f t="shared" si="48"/>
        <v>61169.750789142388</v>
      </c>
      <c r="D574" s="14"/>
      <c r="E574" s="14">
        <f t="shared" si="49"/>
        <v>91754.626183713583</v>
      </c>
      <c r="F574" s="14">
        <f t="shared" si="50"/>
        <v>969046469.92063713</v>
      </c>
      <c r="G574" s="1"/>
      <c r="H574" s="4">
        <v>969046469.91999996</v>
      </c>
      <c r="I574" s="7">
        <f t="shared" si="51"/>
        <v>4.736516182483186E-4</v>
      </c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>
      <c r="A575" s="1" t="s">
        <v>618</v>
      </c>
      <c r="B575" s="14">
        <f t="shared" si="47"/>
        <v>305848.75394571194</v>
      </c>
      <c r="C575" s="14">
        <f t="shared" si="48"/>
        <v>61169.750789142388</v>
      </c>
      <c r="D575" s="14"/>
      <c r="E575" s="14">
        <f t="shared" si="49"/>
        <v>91754.626183713583</v>
      </c>
      <c r="F575" s="14">
        <f t="shared" si="50"/>
        <v>969505243.05155575</v>
      </c>
      <c r="G575" s="1"/>
      <c r="H575" s="4">
        <v>969505243.04999995</v>
      </c>
      <c r="I575" s="7">
        <f t="shared" si="51"/>
        <v>4.7342737860431961E-4</v>
      </c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>
      <c r="A576" s="1" t="s">
        <v>619</v>
      </c>
      <c r="B576" s="14">
        <f t="shared" ref="B576:B639" si="52">B575</f>
        <v>305848.75394571194</v>
      </c>
      <c r="C576" s="14">
        <f t="shared" si="48"/>
        <v>61169.750789142388</v>
      </c>
      <c r="D576" s="14"/>
      <c r="E576" s="14">
        <f t="shared" si="49"/>
        <v>91754.626183713583</v>
      </c>
      <c r="F576" s="14">
        <f t="shared" si="50"/>
        <v>969964016.18247437</v>
      </c>
      <c r="G576" s="1"/>
      <c r="H576" s="4">
        <v>969964016.17999995</v>
      </c>
      <c r="I576" s="7">
        <f t="shared" si="51"/>
        <v>4.7320335118222263E-4</v>
      </c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>
      <c r="A577" s="1" t="s">
        <v>620</v>
      </c>
      <c r="B577" s="14">
        <f t="shared" si="52"/>
        <v>305848.75394571194</v>
      </c>
      <c r="C577" s="14">
        <f t="shared" si="48"/>
        <v>61169.750789142388</v>
      </c>
      <c r="D577" s="14"/>
      <c r="E577" s="14">
        <f t="shared" si="49"/>
        <v>91754.626183713583</v>
      </c>
      <c r="F577" s="14">
        <f t="shared" si="50"/>
        <v>970422789.313393</v>
      </c>
      <c r="G577" s="1"/>
      <c r="H577" s="4">
        <v>970422789.30999994</v>
      </c>
      <c r="I577" s="7">
        <f t="shared" si="51"/>
        <v>4.7297953568089781E-4</v>
      </c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>
      <c r="A578" s="1" t="s">
        <v>621</v>
      </c>
      <c r="B578" s="14">
        <f t="shared" si="52"/>
        <v>305848.75394571194</v>
      </c>
      <c r="C578" s="14">
        <f t="shared" si="48"/>
        <v>61169.750789142388</v>
      </c>
      <c r="D578" s="14"/>
      <c r="E578" s="14">
        <f t="shared" si="49"/>
        <v>91754.626183713583</v>
      </c>
      <c r="F578" s="14">
        <f t="shared" si="50"/>
        <v>970881562.44431162</v>
      </c>
      <c r="G578" s="1"/>
      <c r="H578" s="4">
        <v>970881562.44000006</v>
      </c>
      <c r="I578" s="7">
        <f t="shared" si="51"/>
        <v>4.7275593179990763E-4</v>
      </c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>
      <c r="A579" s="1" t="s">
        <v>622</v>
      </c>
      <c r="B579" s="14">
        <f t="shared" si="52"/>
        <v>305848.75394571194</v>
      </c>
      <c r="C579" s="14">
        <f t="shared" si="48"/>
        <v>61169.750789142388</v>
      </c>
      <c r="D579" s="14"/>
      <c r="E579" s="14">
        <f t="shared" si="49"/>
        <v>91754.626183713583</v>
      </c>
      <c r="F579" s="14">
        <f t="shared" si="50"/>
        <v>971340335.57523024</v>
      </c>
      <c r="G579" s="1"/>
      <c r="H579" s="4">
        <v>971340335.58000004</v>
      </c>
      <c r="I579" s="7">
        <f t="shared" si="51"/>
        <v>4.7253254953879881E-4</v>
      </c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>
      <c r="A580" s="1" t="s">
        <v>623</v>
      </c>
      <c r="B580" s="14">
        <f t="shared" si="52"/>
        <v>305848.75394571194</v>
      </c>
      <c r="C580" s="14">
        <f t="shared" si="48"/>
        <v>61169.750789142388</v>
      </c>
      <c r="D580" s="14"/>
      <c r="E580" s="14">
        <f t="shared" si="49"/>
        <v>91754.626183713583</v>
      </c>
      <c r="F580" s="14">
        <f t="shared" si="50"/>
        <v>971799108.70614886</v>
      </c>
      <c r="G580" s="1"/>
      <c r="H580" s="4">
        <v>971799108.71000004</v>
      </c>
      <c r="I580" s="7">
        <f t="shared" si="51"/>
        <v>4.7230935769392897E-4</v>
      </c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>
      <c r="A581" s="1" t="s">
        <v>624</v>
      </c>
      <c r="B581" s="14">
        <f t="shared" si="52"/>
        <v>305848.75394571194</v>
      </c>
      <c r="C581" s="14">
        <f t="shared" si="48"/>
        <v>61169.750789142388</v>
      </c>
      <c r="D581" s="14"/>
      <c r="E581" s="14">
        <f t="shared" si="49"/>
        <v>91754.626183713583</v>
      </c>
      <c r="F581" s="14">
        <f t="shared" si="50"/>
        <v>972257881.83706748</v>
      </c>
      <c r="G581" s="1"/>
      <c r="H581" s="4">
        <v>972257881.84000003</v>
      </c>
      <c r="I581" s="7">
        <f t="shared" si="51"/>
        <v>4.7208638687576762E-4</v>
      </c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>
      <c r="A582" s="1" t="s">
        <v>625</v>
      </c>
      <c r="B582" s="14">
        <f>B581*(1-$J$1)</f>
        <v>293614.80378788343</v>
      </c>
      <c r="C582" s="14">
        <f t="shared" si="48"/>
        <v>58722.960757576686</v>
      </c>
      <c r="D582" s="14"/>
      <c r="E582" s="14">
        <f t="shared" si="49"/>
        <v>88084.441136365029</v>
      </c>
      <c r="F582" s="14">
        <f t="shared" si="50"/>
        <v>972698304.04274929</v>
      </c>
      <c r="G582" s="1"/>
      <c r="H582" s="4">
        <v>972698304.03999996</v>
      </c>
      <c r="I582" s="7">
        <f t="shared" si="51"/>
        <v>4.5298907648496359E-4</v>
      </c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>
      <c r="A583" s="1" t="s">
        <v>626</v>
      </c>
      <c r="B583" s="14">
        <f t="shared" si="52"/>
        <v>293614.80378788343</v>
      </c>
      <c r="C583" s="14">
        <f t="shared" si="48"/>
        <v>58722.960757576686</v>
      </c>
      <c r="D583" s="14"/>
      <c r="E583" s="14">
        <f t="shared" si="49"/>
        <v>88084.441136365029</v>
      </c>
      <c r="F583" s="14">
        <f t="shared" si="50"/>
        <v>973138726.24843109</v>
      </c>
      <c r="G583" s="1"/>
      <c r="H583" s="4">
        <v>973138726.25</v>
      </c>
      <c r="I583" s="7">
        <f t="shared" si="51"/>
        <v>4.5278398057320641E-4</v>
      </c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>
      <c r="A584" s="1" t="s">
        <v>627</v>
      </c>
      <c r="B584" s="14">
        <f t="shared" si="52"/>
        <v>293614.80378788343</v>
      </c>
      <c r="C584" s="14">
        <f t="shared" si="48"/>
        <v>58722.960757576686</v>
      </c>
      <c r="D584" s="14"/>
      <c r="E584" s="14">
        <f t="shared" si="49"/>
        <v>88084.441136365029</v>
      </c>
      <c r="F584" s="14">
        <f t="shared" si="50"/>
        <v>973579148.45411289</v>
      </c>
      <c r="G584" s="1"/>
      <c r="H584" s="4">
        <v>973579148.45000005</v>
      </c>
      <c r="I584" s="7">
        <f t="shared" si="51"/>
        <v>4.5257904974886686E-4</v>
      </c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>
      <c r="A585" s="1" t="s">
        <v>628</v>
      </c>
      <c r="B585" s="14">
        <f t="shared" si="52"/>
        <v>293614.80378788343</v>
      </c>
      <c r="C585" s="14">
        <f t="shared" si="48"/>
        <v>58722.960757576686</v>
      </c>
      <c r="D585" s="14"/>
      <c r="E585" s="14">
        <f t="shared" si="49"/>
        <v>88084.441136365029</v>
      </c>
      <c r="F585" s="14">
        <f t="shared" si="50"/>
        <v>974019570.65979469</v>
      </c>
      <c r="G585" s="1"/>
      <c r="H585" s="4">
        <v>974019570.65999997</v>
      </c>
      <c r="I585" s="7">
        <f t="shared" si="51"/>
        <v>4.5237432488267557E-4</v>
      </c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>
      <c r="A586" s="1" t="s">
        <v>629</v>
      </c>
      <c r="B586" s="14">
        <f t="shared" si="52"/>
        <v>293614.80378788343</v>
      </c>
      <c r="C586" s="14">
        <f t="shared" si="48"/>
        <v>58722.960757576686</v>
      </c>
      <c r="D586" s="14"/>
      <c r="E586" s="14">
        <f t="shared" si="49"/>
        <v>88084.441136365029</v>
      </c>
      <c r="F586" s="14">
        <f t="shared" si="50"/>
        <v>974459992.86547649</v>
      </c>
      <c r="G586" s="1"/>
      <c r="H586" s="4">
        <v>974459992.87</v>
      </c>
      <c r="I586" s="7">
        <f t="shared" si="51"/>
        <v>4.5216977488615154E-4</v>
      </c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>
      <c r="A587" s="1" t="s">
        <v>630</v>
      </c>
      <c r="B587" s="14">
        <f t="shared" si="52"/>
        <v>293614.80378788343</v>
      </c>
      <c r="C587" s="14">
        <f t="shared" si="48"/>
        <v>58722.960757576686</v>
      </c>
      <c r="D587" s="14"/>
      <c r="E587" s="14">
        <f t="shared" si="49"/>
        <v>88084.441136365029</v>
      </c>
      <c r="F587" s="14">
        <f t="shared" si="50"/>
        <v>974900415.07115829</v>
      </c>
      <c r="G587" s="1"/>
      <c r="H587" s="4">
        <v>974900415.07000005</v>
      </c>
      <c r="I587" s="7">
        <f t="shared" si="51"/>
        <v>4.5196539952646695E-4</v>
      </c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>
      <c r="A588" s="1" t="s">
        <v>631</v>
      </c>
      <c r="B588" s="14">
        <f t="shared" si="52"/>
        <v>293614.80378788343</v>
      </c>
      <c r="C588" s="14">
        <f t="shared" si="48"/>
        <v>58722.960757576686</v>
      </c>
      <c r="D588" s="14"/>
      <c r="E588" s="14">
        <f t="shared" si="49"/>
        <v>88084.441136365029</v>
      </c>
      <c r="F588" s="14">
        <f t="shared" si="50"/>
        <v>975340837.27684009</v>
      </c>
      <c r="G588" s="1"/>
      <c r="H588" s="4">
        <v>975340837.27999997</v>
      </c>
      <c r="I588" s="7">
        <f t="shared" si="51"/>
        <v>4.5176122934391779E-4</v>
      </c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>
      <c r="A589" s="1" t="s">
        <v>632</v>
      </c>
      <c r="B589" s="14">
        <f t="shared" si="52"/>
        <v>293614.80378788343</v>
      </c>
      <c r="C589" s="14">
        <f t="shared" ref="C589:C650" si="53">B589*$H$6</f>
        <v>58722.960757576686</v>
      </c>
      <c r="D589" s="14"/>
      <c r="E589" s="14">
        <f t="shared" si="49"/>
        <v>88084.441136365029</v>
      </c>
      <c r="F589" s="14">
        <f t="shared" si="50"/>
        <v>975781259.48252189</v>
      </c>
      <c r="G589" s="1"/>
      <c r="H589" s="4">
        <v>975781259.48000002</v>
      </c>
      <c r="I589" s="7">
        <f t="shared" si="51"/>
        <v>4.5155722304039204E-4</v>
      </c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>
      <c r="A590" s="1" t="s">
        <v>633</v>
      </c>
      <c r="B590" s="14">
        <f t="shared" si="52"/>
        <v>293614.80378788343</v>
      </c>
      <c r="C590" s="14">
        <f t="shared" si="53"/>
        <v>58722.960757576686</v>
      </c>
      <c r="D590" s="14"/>
      <c r="E590" s="14">
        <f t="shared" si="49"/>
        <v>88084.441136365029</v>
      </c>
      <c r="F590" s="14">
        <f t="shared" si="50"/>
        <v>976221681.68820369</v>
      </c>
      <c r="G590" s="1"/>
      <c r="H590" s="4">
        <v>976221681.69000006</v>
      </c>
      <c r="I590" s="7">
        <f t="shared" si="51"/>
        <v>4.5135342139563322E-4</v>
      </c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>
      <c r="A591" s="1" t="s">
        <v>634</v>
      </c>
      <c r="B591" s="14">
        <f t="shared" si="52"/>
        <v>293614.80378788343</v>
      </c>
      <c r="C591" s="14">
        <f t="shared" si="53"/>
        <v>58722.960757576686</v>
      </c>
      <c r="D591" s="14"/>
      <c r="E591" s="14">
        <f t="shared" si="49"/>
        <v>88084.441136365029</v>
      </c>
      <c r="F591" s="14">
        <f t="shared" si="50"/>
        <v>976662103.89388549</v>
      </c>
      <c r="G591" s="1"/>
      <c r="H591" s="4">
        <v>976662103.88999999</v>
      </c>
      <c r="I591" s="7">
        <f t="shared" si="51"/>
        <v>4.5114978314913606E-4</v>
      </c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>
      <c r="A592" s="1" t="s">
        <v>635</v>
      </c>
      <c r="B592" s="14">
        <f t="shared" si="52"/>
        <v>293614.80378788343</v>
      </c>
      <c r="C592" s="14">
        <f t="shared" si="53"/>
        <v>58722.960757576686</v>
      </c>
      <c r="D592" s="14"/>
      <c r="E592" s="14">
        <f t="shared" si="49"/>
        <v>88084.441136365029</v>
      </c>
      <c r="F592" s="14">
        <f t="shared" si="50"/>
        <v>977102526.09956729</v>
      </c>
      <c r="G592" s="1"/>
      <c r="H592" s="4">
        <v>977102526.10000002</v>
      </c>
      <c r="I592" s="7">
        <f t="shared" si="51"/>
        <v>4.5094634904523973E-4</v>
      </c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>
      <c r="A593" s="1" t="s">
        <v>636</v>
      </c>
      <c r="B593" s="14">
        <f t="shared" si="52"/>
        <v>293614.80378788343</v>
      </c>
      <c r="C593" s="14">
        <f t="shared" si="53"/>
        <v>58722.960757576686</v>
      </c>
      <c r="D593" s="14"/>
      <c r="E593" s="14">
        <f t="shared" si="49"/>
        <v>88084.441136365029</v>
      </c>
      <c r="F593" s="14">
        <f t="shared" si="50"/>
        <v>977542948.30524909</v>
      </c>
      <c r="G593" s="1"/>
      <c r="H593" s="4">
        <v>977542948.30999994</v>
      </c>
      <c r="I593" s="7">
        <f t="shared" si="51"/>
        <v>4.5074308809518379E-4</v>
      </c>
      <c r="J593" s="7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>
      <c r="A594" s="1" t="s">
        <v>637</v>
      </c>
      <c r="B594" s="14">
        <f>B593*(1-$J$1)</f>
        <v>281870.21163636807</v>
      </c>
      <c r="C594" s="14">
        <f t="shared" si="53"/>
        <v>56374.042327273615</v>
      </c>
      <c r="D594" s="14"/>
      <c r="E594" s="14">
        <f t="shared" si="49"/>
        <v>84561.063490910426</v>
      </c>
      <c r="F594" s="14">
        <f t="shared" si="50"/>
        <v>977965753.62270367</v>
      </c>
      <c r="G594" s="1"/>
      <c r="H594" s="4">
        <v>977965753.62</v>
      </c>
      <c r="I594" s="7">
        <f t="shared" si="51"/>
        <v>4.3251839802130239E-4</v>
      </c>
      <c r="J594" s="7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>
      <c r="A595" s="1" t="s">
        <v>638</v>
      </c>
      <c r="B595" s="14">
        <f t="shared" si="52"/>
        <v>281870.21163636807</v>
      </c>
      <c r="C595" s="14">
        <f t="shared" si="53"/>
        <v>56374.042327273615</v>
      </c>
      <c r="D595" s="14"/>
      <c r="E595" s="14">
        <f t="shared" ref="E595:E651" si="54">(B595+C595+D595)*25%</f>
        <v>84561.063490910426</v>
      </c>
      <c r="F595" s="14">
        <f t="shared" ref="F595:F651" si="55">F594+SUM(B595:E595)</f>
        <v>978388558.94015825</v>
      </c>
      <c r="G595" s="1"/>
      <c r="H595" s="4">
        <v>978388558.94000006</v>
      </c>
      <c r="I595" s="7">
        <f t="shared" si="51"/>
        <v>4.3233141695914477E-4</v>
      </c>
      <c r="J595" s="7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>
      <c r="A596" s="1" t="s">
        <v>639</v>
      </c>
      <c r="B596" s="14">
        <f t="shared" si="52"/>
        <v>281870.21163636807</v>
      </c>
      <c r="C596" s="14">
        <f t="shared" si="53"/>
        <v>56374.042327273615</v>
      </c>
      <c r="D596" s="14"/>
      <c r="E596" s="14">
        <f t="shared" si="54"/>
        <v>84561.063490910426</v>
      </c>
      <c r="F596" s="14">
        <f t="shared" si="55"/>
        <v>978811364.25761282</v>
      </c>
      <c r="G596" s="1"/>
      <c r="H596" s="4">
        <v>978811364.25999999</v>
      </c>
      <c r="I596" s="7">
        <f t="shared" si="51"/>
        <v>4.3214458727727404E-4</v>
      </c>
      <c r="J596" s="7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>
      <c r="A597" s="1" t="s">
        <v>640</v>
      </c>
      <c r="B597" s="14">
        <f t="shared" si="52"/>
        <v>281870.21163636807</v>
      </c>
      <c r="C597" s="14">
        <f t="shared" si="53"/>
        <v>56374.042327273615</v>
      </c>
      <c r="D597" s="14"/>
      <c r="E597" s="14">
        <f t="shared" si="54"/>
        <v>84561.063490910426</v>
      </c>
      <c r="F597" s="14">
        <f t="shared" si="55"/>
        <v>979234169.5750674</v>
      </c>
      <c r="G597" s="1"/>
      <c r="H597" s="4">
        <v>979234169.58000004</v>
      </c>
      <c r="I597" s="7">
        <f t="shared" si="51"/>
        <v>4.3195791900076818E-4</v>
      </c>
      <c r="J597" s="7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>
      <c r="A598" s="1" t="s">
        <v>641</v>
      </c>
      <c r="B598" s="14">
        <f t="shared" si="52"/>
        <v>281870.21163636807</v>
      </c>
      <c r="C598" s="14">
        <f t="shared" si="53"/>
        <v>56374.042327273615</v>
      </c>
      <c r="D598" s="14"/>
      <c r="E598" s="14">
        <f t="shared" si="54"/>
        <v>84561.063490910426</v>
      </c>
      <c r="F598" s="14">
        <f t="shared" si="55"/>
        <v>979656974.89252198</v>
      </c>
      <c r="G598" s="1"/>
      <c r="H598" s="4">
        <v>979656974.88999999</v>
      </c>
      <c r="I598" s="7">
        <f t="shared" si="51"/>
        <v>4.3177140170801712E-4</v>
      </c>
      <c r="J598" s="7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>
      <c r="A599" s="1" t="s">
        <v>642</v>
      </c>
      <c r="B599" s="14">
        <f t="shared" si="52"/>
        <v>281870.21163636807</v>
      </c>
      <c r="C599" s="14">
        <f t="shared" si="53"/>
        <v>56374.042327273615</v>
      </c>
      <c r="D599" s="14"/>
      <c r="E599" s="14">
        <f t="shared" si="54"/>
        <v>84561.063490910426</v>
      </c>
      <c r="F599" s="14">
        <f t="shared" si="55"/>
        <v>980079780.20997655</v>
      </c>
      <c r="G599" s="1"/>
      <c r="H599" s="4">
        <v>980079780.21000004</v>
      </c>
      <c r="I599" s="7">
        <f t="shared" si="51"/>
        <v>4.3158506583136083E-4</v>
      </c>
      <c r="J599" s="7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>
      <c r="A600" s="1" t="s">
        <v>643</v>
      </c>
      <c r="B600" s="14">
        <f t="shared" si="52"/>
        <v>281870.21163636807</v>
      </c>
      <c r="C600" s="14">
        <f t="shared" si="53"/>
        <v>56374.042327273615</v>
      </c>
      <c r="D600" s="14"/>
      <c r="E600" s="14">
        <f t="shared" si="54"/>
        <v>84561.063490910426</v>
      </c>
      <c r="F600" s="14">
        <f t="shared" si="55"/>
        <v>980502585.52743113</v>
      </c>
      <c r="G600" s="1"/>
      <c r="H600" s="4">
        <v>980502585.52999997</v>
      </c>
      <c r="I600" s="7">
        <f t="shared" si="51"/>
        <v>4.3139888051699167E-4</v>
      </c>
      <c r="J600" s="7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>
      <c r="A601" s="1" t="s">
        <v>644</v>
      </c>
      <c r="B601" s="14">
        <f t="shared" si="52"/>
        <v>281870.21163636807</v>
      </c>
      <c r="C601" s="14">
        <f t="shared" si="53"/>
        <v>56374.042327273615</v>
      </c>
      <c r="D601" s="14"/>
      <c r="E601" s="14">
        <f t="shared" si="54"/>
        <v>84561.063490910426</v>
      </c>
      <c r="F601" s="14">
        <f t="shared" si="55"/>
        <v>980925390.84488571</v>
      </c>
      <c r="G601" s="1"/>
      <c r="H601" s="4">
        <v>980925390.84000003</v>
      </c>
      <c r="I601" s="7">
        <f t="shared" si="51"/>
        <v>4.3121284557502638E-4</v>
      </c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>
      <c r="A602" s="1" t="s">
        <v>645</v>
      </c>
      <c r="B602" s="14">
        <f t="shared" si="52"/>
        <v>281870.21163636807</v>
      </c>
      <c r="C602" s="14">
        <f t="shared" si="53"/>
        <v>56374.042327273615</v>
      </c>
      <c r="D602" s="14"/>
      <c r="E602" s="14">
        <f t="shared" si="54"/>
        <v>84561.063490910426</v>
      </c>
      <c r="F602" s="14">
        <f t="shared" si="55"/>
        <v>981348196.16234028</v>
      </c>
      <c r="G602" s="1"/>
      <c r="H602" s="4">
        <v>981348196.15999997</v>
      </c>
      <c r="I602" s="7">
        <f t="shared" si="51"/>
        <v>4.3102699139826583E-4</v>
      </c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>
      <c r="A603" s="1" t="s">
        <v>646</v>
      </c>
      <c r="B603" s="14">
        <f t="shared" si="52"/>
        <v>281870.21163636807</v>
      </c>
      <c r="C603" s="14">
        <f t="shared" si="53"/>
        <v>56374.042327273615</v>
      </c>
      <c r="D603" s="14"/>
      <c r="E603" s="14">
        <f t="shared" si="54"/>
        <v>84561.063490910426</v>
      </c>
      <c r="F603" s="14">
        <f t="shared" si="55"/>
        <v>981771001.47979486</v>
      </c>
      <c r="G603" s="1"/>
      <c r="H603" s="4">
        <v>981771001.48000002</v>
      </c>
      <c r="I603" s="7">
        <f t="shared" si="51"/>
        <v>4.3084128717460631E-4</v>
      </c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>
      <c r="A604" s="1" t="s">
        <v>647</v>
      </c>
      <c r="B604" s="14">
        <f t="shared" si="52"/>
        <v>281870.21163636807</v>
      </c>
      <c r="C604" s="14">
        <f t="shared" si="53"/>
        <v>56374.042327273615</v>
      </c>
      <c r="D604" s="14"/>
      <c r="E604" s="14">
        <f t="shared" si="54"/>
        <v>84561.063490910426</v>
      </c>
      <c r="F604" s="14">
        <f t="shared" si="55"/>
        <v>982193806.79724944</v>
      </c>
      <c r="G604" s="1"/>
      <c r="H604" s="4">
        <v>982193806.79999995</v>
      </c>
      <c r="I604" s="7">
        <f t="shared" si="51"/>
        <v>4.3065574289988473E-4</v>
      </c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>
      <c r="A605" s="1" t="s">
        <v>648</v>
      </c>
      <c r="B605" s="14">
        <f t="shared" si="52"/>
        <v>281870.21163636807</v>
      </c>
      <c r="C605" s="14">
        <f t="shared" si="53"/>
        <v>56374.042327273615</v>
      </c>
      <c r="D605" s="14"/>
      <c r="E605" s="14">
        <f t="shared" si="54"/>
        <v>84561.063490910426</v>
      </c>
      <c r="F605" s="14">
        <f t="shared" si="55"/>
        <v>982616612.11470401</v>
      </c>
      <c r="G605" s="1"/>
      <c r="H605" s="4">
        <v>982616612.11000001</v>
      </c>
      <c r="I605" s="7">
        <f t="shared" si="51"/>
        <v>4.3047034818674649E-4</v>
      </c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>
      <c r="A606" s="1" t="s">
        <v>649</v>
      </c>
      <c r="B606" s="14">
        <f>B605*(1-$J$1)</f>
        <v>270595.40317091334</v>
      </c>
      <c r="C606" s="14">
        <f t="shared" si="53"/>
        <v>54119.080634182668</v>
      </c>
      <c r="D606" s="14"/>
      <c r="E606" s="14">
        <f t="shared" si="54"/>
        <v>81178.620951274002</v>
      </c>
      <c r="F606" s="14">
        <f t="shared" si="55"/>
        <v>983022505.21946037</v>
      </c>
      <c r="G606" s="1"/>
      <c r="H606" s="4">
        <v>983022505.22000003</v>
      </c>
      <c r="I606" s="7">
        <f t="shared" si="51"/>
        <v>4.1307373089126664E-4</v>
      </c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>
      <c r="A607" s="1" t="s">
        <v>650</v>
      </c>
      <c r="B607" s="14">
        <f t="shared" si="52"/>
        <v>270595.40317091334</v>
      </c>
      <c r="C607" s="14">
        <f t="shared" si="53"/>
        <v>54119.080634182668</v>
      </c>
      <c r="D607" s="14"/>
      <c r="E607" s="14">
        <f t="shared" si="54"/>
        <v>81178.620951274002</v>
      </c>
      <c r="F607" s="14">
        <f t="shared" si="55"/>
        <v>983428398.32421672</v>
      </c>
      <c r="G607" s="1"/>
      <c r="H607" s="4">
        <v>983428398.32000005</v>
      </c>
      <c r="I607" s="7">
        <f t="shared" si="51"/>
        <v>4.1290316126504667E-4</v>
      </c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>
      <c r="A608" s="1" t="s">
        <v>651</v>
      </c>
      <c r="B608" s="14">
        <f t="shared" si="52"/>
        <v>270595.40317091334</v>
      </c>
      <c r="C608" s="14">
        <f t="shared" si="53"/>
        <v>54119.080634182668</v>
      </c>
      <c r="D608" s="14"/>
      <c r="E608" s="14">
        <f t="shared" si="54"/>
        <v>81178.620951274002</v>
      </c>
      <c r="F608" s="14">
        <f t="shared" si="55"/>
        <v>983834291.42897308</v>
      </c>
      <c r="G608" s="1"/>
      <c r="H608" s="4">
        <v>983834291.42999995</v>
      </c>
      <c r="I608" s="7">
        <f t="shared" si="51"/>
        <v>4.1273275277924261E-4</v>
      </c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>
      <c r="A609" s="1" t="s">
        <v>652</v>
      </c>
      <c r="B609" s="14">
        <f t="shared" si="52"/>
        <v>270595.40317091334</v>
      </c>
      <c r="C609" s="14">
        <f t="shared" si="53"/>
        <v>54119.080634182668</v>
      </c>
      <c r="D609" s="14"/>
      <c r="E609" s="14">
        <f t="shared" si="54"/>
        <v>81178.620951274002</v>
      </c>
      <c r="F609" s="14">
        <f t="shared" si="55"/>
        <v>984240184.53372943</v>
      </c>
      <c r="G609" s="1"/>
      <c r="H609" s="4">
        <v>984240184.52999997</v>
      </c>
      <c r="I609" s="7">
        <f t="shared" ref="I609:I652" si="56">(H609-H608)/H608</f>
        <v>4.1256246456917002E-4</v>
      </c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>
      <c r="A610" s="1" t="s">
        <v>653</v>
      </c>
      <c r="B610" s="14">
        <f t="shared" si="52"/>
        <v>270595.40317091334</v>
      </c>
      <c r="C610" s="14">
        <f t="shared" si="53"/>
        <v>54119.080634182668</v>
      </c>
      <c r="D610" s="14"/>
      <c r="E610" s="14">
        <f t="shared" si="54"/>
        <v>81178.620951274002</v>
      </c>
      <c r="F610" s="14">
        <f t="shared" si="55"/>
        <v>984646077.63848579</v>
      </c>
      <c r="G610" s="1"/>
      <c r="H610" s="4">
        <v>984646077.63999999</v>
      </c>
      <c r="I610" s="7">
        <f t="shared" si="56"/>
        <v>4.1239233713449602E-4</v>
      </c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>
      <c r="A611" s="1" t="s">
        <v>654</v>
      </c>
      <c r="B611" s="14">
        <f t="shared" si="52"/>
        <v>270595.40317091334</v>
      </c>
      <c r="C611" s="14">
        <f t="shared" si="53"/>
        <v>54119.080634182668</v>
      </c>
      <c r="D611" s="14"/>
      <c r="E611" s="14">
        <f t="shared" si="54"/>
        <v>81178.620951274002</v>
      </c>
      <c r="F611" s="14">
        <f t="shared" si="55"/>
        <v>985051970.74324214</v>
      </c>
      <c r="G611" s="1"/>
      <c r="H611" s="4">
        <v>985051970.74000001</v>
      </c>
      <c r="I611" s="7">
        <f t="shared" si="56"/>
        <v>4.1222232964444294E-4</v>
      </c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>
      <c r="A612" s="1" t="s">
        <v>655</v>
      </c>
      <c r="B612" s="14">
        <f t="shared" si="52"/>
        <v>270595.40317091334</v>
      </c>
      <c r="C612" s="14">
        <f t="shared" si="53"/>
        <v>54119.080634182668</v>
      </c>
      <c r="D612" s="14"/>
      <c r="E612" s="14">
        <f t="shared" si="54"/>
        <v>81178.620951274002</v>
      </c>
      <c r="F612" s="14">
        <f t="shared" si="55"/>
        <v>985457863.8479985</v>
      </c>
      <c r="G612" s="1"/>
      <c r="H612" s="4">
        <v>985457863.85000002</v>
      </c>
      <c r="I612" s="7">
        <f t="shared" si="56"/>
        <v>4.120524825660675E-4</v>
      </c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>
      <c r="A613" s="1" t="s">
        <v>656</v>
      </c>
      <c r="B613" s="14">
        <f t="shared" si="52"/>
        <v>270595.40317091334</v>
      </c>
      <c r="C613" s="14">
        <f t="shared" si="53"/>
        <v>54119.080634182668</v>
      </c>
      <c r="D613" s="14"/>
      <c r="E613" s="14">
        <f t="shared" si="54"/>
        <v>81178.620951274002</v>
      </c>
      <c r="F613" s="14">
        <f t="shared" si="55"/>
        <v>985863756.95275486</v>
      </c>
      <c r="G613" s="1"/>
      <c r="H613" s="4">
        <v>985863756.95000005</v>
      </c>
      <c r="I613" s="7">
        <f t="shared" si="56"/>
        <v>4.1188275510256243E-4</v>
      </c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>
      <c r="A614" s="1" t="s">
        <v>657</v>
      </c>
      <c r="B614" s="14">
        <f t="shared" si="52"/>
        <v>270595.40317091334</v>
      </c>
      <c r="C614" s="14">
        <f t="shared" si="53"/>
        <v>54119.080634182668</v>
      </c>
      <c r="D614" s="14"/>
      <c r="E614" s="14">
        <f t="shared" si="54"/>
        <v>81178.620951274002</v>
      </c>
      <c r="F614" s="14">
        <f t="shared" si="55"/>
        <v>986269650.05751121</v>
      </c>
      <c r="G614" s="1"/>
      <c r="H614" s="4">
        <v>986269650.05999994</v>
      </c>
      <c r="I614" s="7">
        <f t="shared" si="56"/>
        <v>4.1171318768794209E-4</v>
      </c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>
      <c r="A615" s="1" t="s">
        <v>658</v>
      </c>
      <c r="B615" s="14">
        <f t="shared" si="52"/>
        <v>270595.40317091334</v>
      </c>
      <c r="C615" s="14">
        <f t="shared" si="53"/>
        <v>54119.080634182668</v>
      </c>
      <c r="D615" s="14"/>
      <c r="E615" s="14">
        <f t="shared" si="54"/>
        <v>81178.620951274002</v>
      </c>
      <c r="F615" s="14">
        <f t="shared" si="55"/>
        <v>986675543.16226757</v>
      </c>
      <c r="G615" s="1"/>
      <c r="H615" s="4">
        <v>986675543.15999997</v>
      </c>
      <c r="I615" s="7">
        <f t="shared" si="56"/>
        <v>4.1154373955979611E-4</v>
      </c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>
      <c r="A616" s="1" t="s">
        <v>659</v>
      </c>
      <c r="B616" s="14">
        <f t="shared" si="52"/>
        <v>270595.40317091334</v>
      </c>
      <c r="C616" s="14">
        <f t="shared" si="53"/>
        <v>54119.080634182668</v>
      </c>
      <c r="D616" s="14"/>
      <c r="E616" s="14">
        <f t="shared" si="54"/>
        <v>81178.620951274002</v>
      </c>
      <c r="F616" s="14">
        <f t="shared" si="55"/>
        <v>987081436.26702392</v>
      </c>
      <c r="G616" s="1"/>
      <c r="H616" s="4">
        <v>987081436.26999998</v>
      </c>
      <c r="I616" s="7">
        <f t="shared" si="56"/>
        <v>4.1137445111902852E-4</v>
      </c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>
      <c r="A617" s="1" t="s">
        <v>660</v>
      </c>
      <c r="B617" s="14">
        <f t="shared" si="52"/>
        <v>270595.40317091334</v>
      </c>
      <c r="C617" s="14">
        <f t="shared" si="53"/>
        <v>54119.080634182668</v>
      </c>
      <c r="D617" s="14"/>
      <c r="E617" s="14">
        <f t="shared" si="54"/>
        <v>81178.620951274002</v>
      </c>
      <c r="F617" s="14">
        <f t="shared" si="55"/>
        <v>987487329.37178028</v>
      </c>
      <c r="G617" s="1"/>
      <c r="H617" s="4">
        <v>987487329.37</v>
      </c>
      <c r="I617" s="7">
        <f t="shared" si="56"/>
        <v>4.1120528163696358E-4</v>
      </c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>
      <c r="A618" s="1" t="s">
        <v>661</v>
      </c>
      <c r="B618" s="14">
        <f>B617*(1-$J$1)</f>
        <v>259771.58704407679</v>
      </c>
      <c r="C618" s="14">
        <f t="shared" si="53"/>
        <v>51954.317408815361</v>
      </c>
      <c r="D618" s="14"/>
      <c r="E618" s="14">
        <f t="shared" si="54"/>
        <v>77931.476113223034</v>
      </c>
      <c r="F618" s="14">
        <f t="shared" si="55"/>
        <v>987876986.7523464</v>
      </c>
      <c r="G618" s="1"/>
      <c r="H618" s="4">
        <v>987876986.75</v>
      </c>
      <c r="I618" s="7">
        <f t="shared" si="56"/>
        <v>3.945948149517928E-4</v>
      </c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>
      <c r="A619" s="1" t="s">
        <v>662</v>
      </c>
      <c r="B619" s="14">
        <f t="shared" si="52"/>
        <v>259771.58704407679</v>
      </c>
      <c r="C619" s="14">
        <f t="shared" si="53"/>
        <v>51954.317408815361</v>
      </c>
      <c r="D619" s="14"/>
      <c r="E619" s="14">
        <f t="shared" si="54"/>
        <v>77931.476113223034</v>
      </c>
      <c r="F619" s="14">
        <f t="shared" si="55"/>
        <v>988266644.13291252</v>
      </c>
      <c r="G619" s="1"/>
      <c r="H619" s="4">
        <v>988266644.13</v>
      </c>
      <c r="I619" s="7">
        <f t="shared" si="56"/>
        <v>3.9443917129998397E-4</v>
      </c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>
      <c r="A620" s="1" t="s">
        <v>663</v>
      </c>
      <c r="B620" s="14">
        <f t="shared" si="52"/>
        <v>259771.58704407679</v>
      </c>
      <c r="C620" s="14">
        <f t="shared" si="53"/>
        <v>51954.317408815361</v>
      </c>
      <c r="D620" s="14"/>
      <c r="E620" s="14">
        <f t="shared" si="54"/>
        <v>77931.476113223034</v>
      </c>
      <c r="F620" s="14">
        <f t="shared" si="55"/>
        <v>988656301.51347864</v>
      </c>
      <c r="G620" s="1"/>
      <c r="H620" s="4">
        <v>988656301.50999999</v>
      </c>
      <c r="I620" s="7">
        <f t="shared" si="56"/>
        <v>3.9428365038366949E-4</v>
      </c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>
      <c r="A621" s="1" t="s">
        <v>664</v>
      </c>
      <c r="B621" s="14">
        <f t="shared" si="52"/>
        <v>259771.58704407679</v>
      </c>
      <c r="C621" s="14">
        <f t="shared" si="53"/>
        <v>51954.317408815361</v>
      </c>
      <c r="D621" s="14"/>
      <c r="E621" s="14">
        <f t="shared" si="54"/>
        <v>77931.476113223034</v>
      </c>
      <c r="F621" s="14">
        <f t="shared" si="55"/>
        <v>989045958.89404476</v>
      </c>
      <c r="G621" s="1"/>
      <c r="H621" s="4">
        <v>989045958.88999999</v>
      </c>
      <c r="I621" s="7">
        <f t="shared" si="56"/>
        <v>3.9412825205772885E-4</v>
      </c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>
      <c r="A622" s="1" t="s">
        <v>665</v>
      </c>
      <c r="B622" s="14">
        <f t="shared" si="52"/>
        <v>259771.58704407679</v>
      </c>
      <c r="C622" s="14">
        <f t="shared" si="53"/>
        <v>51954.317408815361</v>
      </c>
      <c r="D622" s="14"/>
      <c r="E622" s="14">
        <f t="shared" si="54"/>
        <v>77931.476113223034</v>
      </c>
      <c r="F622" s="14">
        <f t="shared" si="55"/>
        <v>989435616.27461088</v>
      </c>
      <c r="G622" s="1"/>
      <c r="H622" s="4">
        <v>989435616.26999998</v>
      </c>
      <c r="I622" s="7">
        <f t="shared" si="56"/>
        <v>3.9397297617727012E-4</v>
      </c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>
      <c r="A623" s="1" t="s">
        <v>666</v>
      </c>
      <c r="B623" s="14">
        <f t="shared" si="52"/>
        <v>259771.58704407679</v>
      </c>
      <c r="C623" s="14">
        <f t="shared" si="53"/>
        <v>51954.317408815361</v>
      </c>
      <c r="D623" s="14"/>
      <c r="E623" s="14">
        <f t="shared" si="54"/>
        <v>77931.476113223034</v>
      </c>
      <c r="F623" s="14">
        <f t="shared" si="55"/>
        <v>989825273.655177</v>
      </c>
      <c r="G623" s="1"/>
      <c r="H623" s="4">
        <v>989825273.65999997</v>
      </c>
      <c r="I623" s="7">
        <f t="shared" si="56"/>
        <v>3.9381783270439185E-4</v>
      </c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>
      <c r="A624" s="1" t="s">
        <v>667</v>
      </c>
      <c r="B624" s="14">
        <f t="shared" si="52"/>
        <v>259771.58704407679</v>
      </c>
      <c r="C624" s="14">
        <f t="shared" si="53"/>
        <v>51954.317408815361</v>
      </c>
      <c r="D624" s="14"/>
      <c r="E624" s="14">
        <f t="shared" si="54"/>
        <v>77931.476113223034</v>
      </c>
      <c r="F624" s="14">
        <f t="shared" si="55"/>
        <v>990214931.03574312</v>
      </c>
      <c r="G624" s="1"/>
      <c r="H624" s="4">
        <v>990214931.03999996</v>
      </c>
      <c r="I624" s="7">
        <f t="shared" si="56"/>
        <v>3.9366279117039458E-4</v>
      </c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>
      <c r="A625" s="1" t="s">
        <v>668</v>
      </c>
      <c r="B625" s="14">
        <f t="shared" si="52"/>
        <v>259771.58704407679</v>
      </c>
      <c r="C625" s="14">
        <f t="shared" si="53"/>
        <v>51954.317408815361</v>
      </c>
      <c r="D625" s="14"/>
      <c r="E625" s="14">
        <f t="shared" si="54"/>
        <v>77931.476113223034</v>
      </c>
      <c r="F625" s="14">
        <f t="shared" si="55"/>
        <v>990604588.41630924</v>
      </c>
      <c r="G625" s="1"/>
      <c r="H625" s="4">
        <v>990604588.41999996</v>
      </c>
      <c r="I625" s="7">
        <f t="shared" si="56"/>
        <v>3.9350788175931365E-4</v>
      </c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>
      <c r="A626" s="1" t="s">
        <v>669</v>
      </c>
      <c r="B626" s="14">
        <f t="shared" si="52"/>
        <v>259771.58704407679</v>
      </c>
      <c r="C626" s="14">
        <f t="shared" si="53"/>
        <v>51954.317408815361</v>
      </c>
      <c r="D626" s="14"/>
      <c r="E626" s="14">
        <f t="shared" si="54"/>
        <v>77931.476113223034</v>
      </c>
      <c r="F626" s="14">
        <f t="shared" si="55"/>
        <v>990994245.79687536</v>
      </c>
      <c r="G626" s="1"/>
      <c r="H626" s="4">
        <v>990994245.79999995</v>
      </c>
      <c r="I626" s="7">
        <f t="shared" si="56"/>
        <v>3.9335309421642507E-4</v>
      </c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>
      <c r="A627" s="1" t="s">
        <v>670</v>
      </c>
      <c r="B627" s="14">
        <f t="shared" si="52"/>
        <v>259771.58704407679</v>
      </c>
      <c r="C627" s="14">
        <f t="shared" si="53"/>
        <v>51954.317408815361</v>
      </c>
      <c r="D627" s="14"/>
      <c r="E627" s="14">
        <f t="shared" si="54"/>
        <v>77931.476113223034</v>
      </c>
      <c r="F627" s="14">
        <f t="shared" si="55"/>
        <v>991383903.17744148</v>
      </c>
      <c r="G627" s="1"/>
      <c r="H627" s="4">
        <v>991383903.17999995</v>
      </c>
      <c r="I627" s="7">
        <f t="shared" si="56"/>
        <v>3.9319842839797371E-4</v>
      </c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>
      <c r="A628" s="1" t="s">
        <v>671</v>
      </c>
      <c r="B628" s="14">
        <f t="shared" si="52"/>
        <v>259771.58704407679</v>
      </c>
      <c r="C628" s="14">
        <f t="shared" si="53"/>
        <v>51954.317408815361</v>
      </c>
      <c r="D628" s="14"/>
      <c r="E628" s="14">
        <f t="shared" si="54"/>
        <v>77931.476113223034</v>
      </c>
      <c r="F628" s="14">
        <f t="shared" si="55"/>
        <v>991773560.5580076</v>
      </c>
      <c r="G628" s="1"/>
      <c r="H628" s="4">
        <v>991773560.55999994</v>
      </c>
      <c r="I628" s="7">
        <f t="shared" si="56"/>
        <v>3.930438841604304E-4</v>
      </c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>
      <c r="A629" s="1" t="s">
        <v>672</v>
      </c>
      <c r="B629" s="14">
        <f t="shared" si="52"/>
        <v>259771.58704407679</v>
      </c>
      <c r="C629" s="14">
        <f t="shared" si="53"/>
        <v>51954.317408815361</v>
      </c>
      <c r="D629" s="14"/>
      <c r="E629" s="14">
        <f t="shared" si="54"/>
        <v>77931.476113223034</v>
      </c>
      <c r="F629" s="14">
        <f t="shared" si="55"/>
        <v>992163217.93857372</v>
      </c>
      <c r="G629" s="1"/>
      <c r="H629" s="4">
        <v>992163217.94000006</v>
      </c>
      <c r="I629" s="7">
        <f t="shared" si="56"/>
        <v>3.9288946136061177E-4</v>
      </c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>
      <c r="A630" s="1" t="s">
        <v>673</v>
      </c>
      <c r="B630" s="14">
        <f>B629*(1-$J$1)</f>
        <v>249380.72356231371</v>
      </c>
      <c r="C630" s="14">
        <f t="shared" si="53"/>
        <v>49876.144712462745</v>
      </c>
      <c r="D630" s="14"/>
      <c r="E630" s="14">
        <f t="shared" si="54"/>
        <v>74814.21706869411</v>
      </c>
      <c r="F630" s="14">
        <f t="shared" si="55"/>
        <v>992537289.0239172</v>
      </c>
      <c r="G630" s="1"/>
      <c r="H630" s="4">
        <v>992537289.01999998</v>
      </c>
      <c r="I630" s="7">
        <f t="shared" si="56"/>
        <v>3.7702574862288961E-4</v>
      </c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>
      <c r="A631" s="1" t="s">
        <v>674</v>
      </c>
      <c r="B631" s="14">
        <f t="shared" si="52"/>
        <v>249380.72356231371</v>
      </c>
      <c r="C631" s="14">
        <f t="shared" si="53"/>
        <v>49876.144712462745</v>
      </c>
      <c r="D631" s="14"/>
      <c r="E631" s="14">
        <f t="shared" si="54"/>
        <v>74814.21706869411</v>
      </c>
      <c r="F631" s="14">
        <f t="shared" si="55"/>
        <v>992911360.10926068</v>
      </c>
      <c r="G631" s="1"/>
      <c r="H631" s="4">
        <v>992911360.11000001</v>
      </c>
      <c r="I631" s="7">
        <f t="shared" si="56"/>
        <v>3.7688366385647777E-4</v>
      </c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>
      <c r="A632" s="1" t="s">
        <v>675</v>
      </c>
      <c r="B632" s="14">
        <f t="shared" si="52"/>
        <v>249380.72356231371</v>
      </c>
      <c r="C632" s="14">
        <f t="shared" si="53"/>
        <v>49876.144712462745</v>
      </c>
      <c r="D632" s="14"/>
      <c r="E632" s="14">
        <f t="shared" si="54"/>
        <v>74814.21706869411</v>
      </c>
      <c r="F632" s="14">
        <f t="shared" si="55"/>
        <v>993285431.19460416</v>
      </c>
      <c r="G632" s="1"/>
      <c r="H632" s="4">
        <v>993285431.19000006</v>
      </c>
      <c r="I632" s="7">
        <f t="shared" si="56"/>
        <v>3.7674166600188894E-4</v>
      </c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>
      <c r="A633" s="1" t="s">
        <v>676</v>
      </c>
      <c r="B633" s="14">
        <f t="shared" si="52"/>
        <v>249380.72356231371</v>
      </c>
      <c r="C633" s="14">
        <f t="shared" si="53"/>
        <v>49876.144712462745</v>
      </c>
      <c r="D633" s="14"/>
      <c r="E633" s="14">
        <f t="shared" si="54"/>
        <v>74814.21706869411</v>
      </c>
      <c r="F633" s="14">
        <f t="shared" si="55"/>
        <v>993659502.27994764</v>
      </c>
      <c r="G633" s="1"/>
      <c r="H633" s="4">
        <v>993659502.27999997</v>
      </c>
      <c r="I633" s="7">
        <f t="shared" si="56"/>
        <v>3.7659979523887749E-4</v>
      </c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>
      <c r="A634" s="1" t="s">
        <v>677</v>
      </c>
      <c r="B634" s="14">
        <f t="shared" si="52"/>
        <v>249380.72356231371</v>
      </c>
      <c r="C634" s="14">
        <f t="shared" si="53"/>
        <v>49876.144712462745</v>
      </c>
      <c r="D634" s="14"/>
      <c r="E634" s="14">
        <f t="shared" si="54"/>
        <v>74814.21706869411</v>
      </c>
      <c r="F634" s="14">
        <f t="shared" si="55"/>
        <v>994033573.36529112</v>
      </c>
      <c r="G634" s="1"/>
      <c r="H634" s="4">
        <v>994033573.37</v>
      </c>
      <c r="I634" s="7">
        <f t="shared" si="56"/>
        <v>3.7645802122528805E-4</v>
      </c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>
      <c r="A635" s="1" t="s">
        <v>678</v>
      </c>
      <c r="B635" s="14">
        <f t="shared" si="52"/>
        <v>249380.72356231371</v>
      </c>
      <c r="C635" s="14">
        <f t="shared" si="53"/>
        <v>49876.144712462745</v>
      </c>
      <c r="D635" s="14"/>
      <c r="E635" s="14">
        <f t="shared" si="54"/>
        <v>74814.21706869411</v>
      </c>
      <c r="F635" s="14">
        <f t="shared" si="55"/>
        <v>994407644.4506346</v>
      </c>
      <c r="G635" s="1"/>
      <c r="H635" s="4">
        <v>994407644.45000005</v>
      </c>
      <c r="I635" s="7">
        <f t="shared" si="56"/>
        <v>3.7631634385532558E-4</v>
      </c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>
      <c r="A636" s="1" t="s">
        <v>679</v>
      </c>
      <c r="B636" s="14">
        <f t="shared" si="52"/>
        <v>249380.72356231371</v>
      </c>
      <c r="C636" s="14">
        <f t="shared" si="53"/>
        <v>49876.144712462745</v>
      </c>
      <c r="D636" s="14"/>
      <c r="E636" s="14">
        <f t="shared" si="54"/>
        <v>74814.21706869411</v>
      </c>
      <c r="F636" s="14">
        <f t="shared" si="55"/>
        <v>994781715.53597808</v>
      </c>
      <c r="G636" s="1"/>
      <c r="H636" s="4">
        <v>994781715.53999996</v>
      </c>
      <c r="I636" s="7">
        <f t="shared" si="56"/>
        <v>3.7617479319239372E-4</v>
      </c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>
      <c r="A637" s="1" t="s">
        <v>680</v>
      </c>
      <c r="B637" s="14">
        <f t="shared" si="52"/>
        <v>249380.72356231371</v>
      </c>
      <c r="C637" s="14">
        <f t="shared" si="53"/>
        <v>49876.144712462745</v>
      </c>
      <c r="D637" s="14"/>
      <c r="E637" s="14">
        <f t="shared" si="54"/>
        <v>74814.21706869411</v>
      </c>
      <c r="F637" s="14">
        <f t="shared" si="55"/>
        <v>995155786.62132156</v>
      </c>
      <c r="G637" s="1"/>
      <c r="H637" s="4">
        <v>995155786.62</v>
      </c>
      <c r="I637" s="7">
        <f t="shared" si="56"/>
        <v>3.7603332887656157E-4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>
      <c r="A638" s="1" t="s">
        <v>681</v>
      </c>
      <c r="B638" s="14">
        <f t="shared" si="52"/>
        <v>249380.72356231371</v>
      </c>
      <c r="C638" s="14">
        <f t="shared" si="53"/>
        <v>49876.144712462745</v>
      </c>
      <c r="D638" s="14"/>
      <c r="E638" s="14">
        <f t="shared" si="54"/>
        <v>74814.21706869411</v>
      </c>
      <c r="F638" s="14">
        <f t="shared" si="55"/>
        <v>995529857.70666504</v>
      </c>
      <c r="G638" s="1"/>
      <c r="H638" s="4">
        <v>995529857.71000004</v>
      </c>
      <c r="I638" s="7">
        <f t="shared" si="56"/>
        <v>3.7589199101233014E-4</v>
      </c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>
      <c r="A639" s="1" t="s">
        <v>682</v>
      </c>
      <c r="B639" s="14">
        <f t="shared" si="52"/>
        <v>249380.72356231371</v>
      </c>
      <c r="C639" s="14">
        <f t="shared" si="53"/>
        <v>49876.144712462745</v>
      </c>
      <c r="D639" s="14"/>
      <c r="E639" s="14">
        <f t="shared" si="54"/>
        <v>74814.21706869411</v>
      </c>
      <c r="F639" s="14">
        <f t="shared" si="55"/>
        <v>995903928.79200852</v>
      </c>
      <c r="G639" s="1"/>
      <c r="H639" s="4">
        <v>995903928.78999996</v>
      </c>
      <c r="I639" s="7">
        <f t="shared" si="56"/>
        <v>3.7575073927003343E-4</v>
      </c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>
      <c r="A640" s="1" t="s">
        <v>683</v>
      </c>
      <c r="B640" s="14">
        <f t="shared" ref="B640:B650" si="57">B639</f>
        <v>249380.72356231371</v>
      </c>
      <c r="C640" s="14">
        <f t="shared" si="53"/>
        <v>49876.144712462745</v>
      </c>
      <c r="D640" s="14"/>
      <c r="E640" s="14">
        <f t="shared" si="54"/>
        <v>74814.21706869411</v>
      </c>
      <c r="F640" s="14">
        <f t="shared" si="55"/>
        <v>996277999.877352</v>
      </c>
      <c r="G640" s="1"/>
      <c r="H640" s="4">
        <v>996277999.88</v>
      </c>
      <c r="I640" s="7">
        <f t="shared" si="56"/>
        <v>3.7560961372501162E-4</v>
      </c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>
      <c r="A641" s="1" t="s">
        <v>684</v>
      </c>
      <c r="B641" s="14">
        <f t="shared" si="57"/>
        <v>249380.72356231371</v>
      </c>
      <c r="C641" s="14">
        <f t="shared" si="53"/>
        <v>49876.144712462745</v>
      </c>
      <c r="D641" s="14"/>
      <c r="E641" s="14">
        <f t="shared" si="54"/>
        <v>74814.21706869411</v>
      </c>
      <c r="F641" s="14">
        <f t="shared" si="55"/>
        <v>996652070.96269548</v>
      </c>
      <c r="G641" s="1"/>
      <c r="H641" s="4">
        <v>996652070.96000004</v>
      </c>
      <c r="I641" s="7">
        <f t="shared" si="56"/>
        <v>3.7546857407781676E-4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>
      <c r="A642" s="1" t="s">
        <v>685</v>
      </c>
      <c r="B642" s="14">
        <f>B641*(1-$J$1)</f>
        <v>239405.49461982114</v>
      </c>
      <c r="C642" s="14">
        <f t="shared" si="53"/>
        <v>47881.098923964229</v>
      </c>
      <c r="D642" s="14"/>
      <c r="E642" s="14">
        <f t="shared" si="54"/>
        <v>71821.648385946348</v>
      </c>
      <c r="F642" s="14">
        <f t="shared" si="55"/>
        <v>997011179.20462525</v>
      </c>
      <c r="G642" s="1"/>
      <c r="H642" s="4">
        <v>997011179.20000005</v>
      </c>
      <c r="I642" s="7">
        <f t="shared" si="56"/>
        <v>3.6031454753724393E-4</v>
      </c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>
      <c r="A643" s="1" t="s">
        <v>686</v>
      </c>
      <c r="B643" s="14">
        <f t="shared" si="57"/>
        <v>239405.49461982114</v>
      </c>
      <c r="C643" s="14">
        <f t="shared" si="53"/>
        <v>47881.098923964229</v>
      </c>
      <c r="D643" s="14"/>
      <c r="E643" s="14">
        <f t="shared" si="54"/>
        <v>71821.648385946348</v>
      </c>
      <c r="F643" s="14">
        <f t="shared" si="55"/>
        <v>997370287.44655502</v>
      </c>
      <c r="G643" s="1"/>
      <c r="H643" s="4">
        <v>997370287.45000005</v>
      </c>
      <c r="I643" s="7">
        <f t="shared" si="56"/>
        <v>3.6018477775559928E-4</v>
      </c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>
      <c r="A644" s="1" t="s">
        <v>687</v>
      </c>
      <c r="B644" s="14">
        <f t="shared" si="57"/>
        <v>239405.49461982114</v>
      </c>
      <c r="C644" s="14">
        <f t="shared" si="53"/>
        <v>47881.098923964229</v>
      </c>
      <c r="D644" s="14"/>
      <c r="E644" s="14">
        <f t="shared" si="54"/>
        <v>71821.648385946348</v>
      </c>
      <c r="F644" s="14">
        <f t="shared" si="55"/>
        <v>997729395.68848479</v>
      </c>
      <c r="G644" s="1"/>
      <c r="H644" s="4">
        <v>997729395.69000006</v>
      </c>
      <c r="I644" s="7">
        <f t="shared" si="56"/>
        <v>3.6005508136616941E-4</v>
      </c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>
      <c r="A645" s="1" t="s">
        <v>688</v>
      </c>
      <c r="B645" s="14">
        <f t="shared" si="57"/>
        <v>239405.49461982114</v>
      </c>
      <c r="C645" s="14">
        <f t="shared" si="53"/>
        <v>47881.098923964229</v>
      </c>
      <c r="D645" s="14"/>
      <c r="E645" s="14">
        <f t="shared" si="54"/>
        <v>71821.648385946348</v>
      </c>
      <c r="F645" s="14">
        <f t="shared" si="55"/>
        <v>998088503.93041456</v>
      </c>
      <c r="G645" s="1"/>
      <c r="H645" s="4">
        <v>998088503.92999995</v>
      </c>
      <c r="I645" s="7">
        <f t="shared" si="56"/>
        <v>3.5992548836505085E-4</v>
      </c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>
      <c r="A646" s="1" t="s">
        <v>689</v>
      </c>
      <c r="B646" s="14">
        <f t="shared" si="57"/>
        <v>239405.49461982114</v>
      </c>
      <c r="C646" s="14">
        <f t="shared" si="53"/>
        <v>47881.098923964229</v>
      </c>
      <c r="D646" s="14"/>
      <c r="E646" s="14">
        <f t="shared" si="54"/>
        <v>71821.648385946348</v>
      </c>
      <c r="F646" s="14">
        <f t="shared" si="55"/>
        <v>998447612.17234433</v>
      </c>
      <c r="G646" s="1"/>
      <c r="H646" s="4">
        <v>998447612.16999996</v>
      </c>
      <c r="I646" s="7">
        <f t="shared" si="56"/>
        <v>3.5979598861825512E-4</v>
      </c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>
      <c r="A647" s="1" t="s">
        <v>690</v>
      </c>
      <c r="B647" s="14">
        <f t="shared" si="57"/>
        <v>239405.49461982114</v>
      </c>
      <c r="C647" s="14">
        <f t="shared" si="53"/>
        <v>47881.098923964229</v>
      </c>
      <c r="D647" s="14"/>
      <c r="E647" s="14">
        <f t="shared" si="54"/>
        <v>71821.648385946348</v>
      </c>
      <c r="F647" s="14">
        <f t="shared" si="55"/>
        <v>998806720.4142741</v>
      </c>
      <c r="G647" s="1"/>
      <c r="H647" s="4">
        <v>998806720.40999997</v>
      </c>
      <c r="I647" s="7">
        <f t="shared" si="56"/>
        <v>3.5966658202480256E-4</v>
      </c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>
      <c r="A648" s="1" t="s">
        <v>691</v>
      </c>
      <c r="B648" s="14">
        <f t="shared" si="57"/>
        <v>239405.49461982114</v>
      </c>
      <c r="C648" s="14">
        <f t="shared" si="53"/>
        <v>47881.098923964229</v>
      </c>
      <c r="D648" s="14"/>
      <c r="E648" s="14">
        <f t="shared" si="54"/>
        <v>71821.648385946348</v>
      </c>
      <c r="F648" s="14">
        <f t="shared" si="55"/>
        <v>999165828.65620387</v>
      </c>
      <c r="G648" s="1"/>
      <c r="H648" s="4">
        <v>999165828.65999997</v>
      </c>
      <c r="I648" s="7">
        <f t="shared" si="56"/>
        <v>3.5953727849627378E-4</v>
      </c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>
      <c r="A649" s="1" t="s">
        <v>692</v>
      </c>
      <c r="B649" s="14">
        <f t="shared" si="57"/>
        <v>239405.49461982114</v>
      </c>
      <c r="C649" s="14">
        <f t="shared" si="53"/>
        <v>47881.098923964229</v>
      </c>
      <c r="D649" s="14"/>
      <c r="E649" s="14">
        <f t="shared" si="54"/>
        <v>71821.648385946348</v>
      </c>
      <c r="F649" s="14">
        <f t="shared" si="55"/>
        <v>999524936.89813364</v>
      </c>
      <c r="G649" s="1"/>
      <c r="H649" s="4">
        <v>999524936.89999998</v>
      </c>
      <c r="I649" s="7">
        <f t="shared" si="56"/>
        <v>3.5940804789292717E-4</v>
      </c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>
      <c r="A650" s="1" t="s">
        <v>693</v>
      </c>
      <c r="B650" s="14">
        <f t="shared" si="57"/>
        <v>239405.49461982114</v>
      </c>
      <c r="C650" s="14">
        <f>B650*$H$6</f>
        <v>47881.098923964229</v>
      </c>
      <c r="D650" s="14"/>
      <c r="E650" s="14">
        <f t="shared" si="54"/>
        <v>71821.648385946348</v>
      </c>
      <c r="F650" s="14">
        <f t="shared" si="55"/>
        <v>999884045.14006341</v>
      </c>
      <c r="G650" s="1"/>
      <c r="H650" s="4">
        <v>999884045.13999999</v>
      </c>
      <c r="I650" s="7">
        <f t="shared" si="56"/>
        <v>3.5927892015758428E-4</v>
      </c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>
      <c r="A651" s="3" t="s">
        <v>694</v>
      </c>
      <c r="B651" s="18">
        <v>77303.240000000005</v>
      </c>
      <c r="C651" s="18">
        <v>15460.65</v>
      </c>
      <c r="D651" s="18"/>
      <c r="E651" s="18">
        <f t="shared" si="54"/>
        <v>23190.9725</v>
      </c>
      <c r="F651" s="18">
        <f t="shared" si="55"/>
        <v>1000000000.0025634</v>
      </c>
      <c r="G651" s="3"/>
      <c r="H651" s="6">
        <v>1000000000</v>
      </c>
      <c r="I651" s="8">
        <f t="shared" si="56"/>
        <v>1.1596830708882723E-4</v>
      </c>
      <c r="J651" s="8"/>
      <c r="K651" s="3" t="s">
        <v>695</v>
      </c>
      <c r="L651" s="3"/>
      <c r="M651" s="3" t="s">
        <v>696</v>
      </c>
      <c r="N651" s="3" t="s">
        <v>696</v>
      </c>
      <c r="O651" s="3" t="s">
        <v>696</v>
      </c>
      <c r="P651" s="3" t="s">
        <v>696</v>
      </c>
      <c r="Q651" s="3" t="s">
        <v>696</v>
      </c>
      <c r="R651" s="3" t="s">
        <v>696</v>
      </c>
      <c r="S651" s="3" t="s">
        <v>696</v>
      </c>
      <c r="T651" s="3" t="s">
        <v>696</v>
      </c>
    </row>
    <row r="652" spans="1:20" ht="15.75">
      <c r="A652" s="1"/>
      <c r="B652" s="14">
        <f>SUM(B17:B651)</f>
        <v>531410304.30562937</v>
      </c>
      <c r="C652" s="14">
        <f>SUM(C17:C651)</f>
        <v>267589695.69641665</v>
      </c>
      <c r="D652" s="14">
        <f>SUM(D17:D651)</f>
        <v>1000000</v>
      </c>
      <c r="E652" s="14">
        <f>SUM(E17:E651)</f>
        <v>200000000.00051174</v>
      </c>
      <c r="F652" s="14">
        <f>SUM(B652:E652)</f>
        <v>1000000000.0025578</v>
      </c>
      <c r="G652" s="1"/>
      <c r="H652" s="4"/>
      <c r="I652" s="7"/>
      <c r="J652" s="7"/>
      <c r="K652" s="1" t="s">
        <v>697</v>
      </c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>
      <c r="A653" s="1"/>
      <c r="B653" s="7">
        <f>B652/$F$652</f>
        <v>0.53141030430427016</v>
      </c>
      <c r="C653" s="7">
        <f>C652/$F$652</f>
        <v>0.26758969569573221</v>
      </c>
      <c r="D653" s="7">
        <f>D652/$F$652</f>
        <v>9.9999999999744217E-4</v>
      </c>
      <c r="E653" s="7">
        <f>E652/$F$652</f>
        <v>0.20000000000000018</v>
      </c>
      <c r="F653" s="1"/>
      <c r="G653" s="1"/>
      <c r="H653" s="4"/>
      <c r="I653" s="7"/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>
      <c r="A654" s="1"/>
      <c r="B654" s="1"/>
      <c r="C654" s="1"/>
      <c r="D654" s="1"/>
      <c r="E654" s="1"/>
      <c r="F654" s="1"/>
      <c r="G654" s="1"/>
      <c r="H654" s="4"/>
      <c r="I654" s="7"/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>
      <c r="A655" s="1"/>
      <c r="B655" s="1"/>
      <c r="C655" s="1"/>
      <c r="D655" s="1"/>
      <c r="E655" s="1"/>
      <c r="F655" s="1"/>
      <c r="G655" s="1"/>
      <c r="H655" s="4"/>
      <c r="I655" s="7"/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>
      <c r="A656" s="1"/>
      <c r="B656" s="1"/>
      <c r="C656" s="1"/>
      <c r="D656" s="1"/>
      <c r="E656" s="1"/>
      <c r="F656" s="1"/>
      <c r="G656" s="1"/>
      <c r="H656" s="4"/>
      <c r="I656" s="7"/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>
      <c r="A657" s="1"/>
      <c r="B657" s="1"/>
      <c r="C657" s="1"/>
      <c r="D657" s="1"/>
      <c r="E657" s="1"/>
      <c r="F657" s="1"/>
      <c r="G657" s="1"/>
      <c r="H657" s="4"/>
      <c r="I657" s="7"/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>
      <c r="A658" s="1"/>
      <c r="B658" s="1"/>
      <c r="C658" s="1"/>
      <c r="D658" s="1"/>
      <c r="E658" s="1"/>
      <c r="F658" s="1"/>
      <c r="G658" s="1"/>
      <c r="H658" s="4"/>
      <c r="I658" s="7"/>
      <c r="J658" s="7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>
      <c r="A659" s="1"/>
      <c r="B659" s="1"/>
      <c r="C659" s="1"/>
      <c r="D659" s="1"/>
      <c r="E659" s="1"/>
      <c r="F659" s="1"/>
      <c r="G659" s="1"/>
      <c r="H659" s="4"/>
      <c r="I659" s="7"/>
      <c r="J659" s="7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>
      <c r="A660" s="1"/>
      <c r="B660" s="1"/>
      <c r="C660" s="1"/>
      <c r="D660" s="1"/>
      <c r="E660" s="1"/>
      <c r="F660" s="1"/>
      <c r="G660" s="1"/>
      <c r="H660" s="4"/>
      <c r="I660" s="7"/>
      <c r="J660" s="7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>
      <c r="A661" s="1"/>
      <c r="B661" s="1"/>
      <c r="C661" s="1"/>
      <c r="D661" s="1"/>
      <c r="E661" s="1"/>
      <c r="F661" s="1"/>
      <c r="G661" s="1"/>
      <c r="H661" s="4"/>
      <c r="I661" s="7"/>
      <c r="J661" s="7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>
      <c r="A662" s="1"/>
      <c r="B662" s="1"/>
      <c r="C662" s="1"/>
      <c r="D662" s="1"/>
      <c r="E662" s="1"/>
      <c r="F662" s="1"/>
      <c r="G662" s="1"/>
      <c r="H662" s="4"/>
      <c r="I662" s="7"/>
      <c r="J662" s="7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>
      <c r="A663" s="1"/>
      <c r="B663" s="1"/>
      <c r="C663" s="1"/>
      <c r="D663" s="1"/>
      <c r="E663" s="1"/>
      <c r="F663" s="1"/>
      <c r="G663" s="1"/>
      <c r="H663" s="4"/>
      <c r="I663" s="7"/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>
      <c r="A664" s="1"/>
      <c r="B664" s="1"/>
      <c r="C664" s="1"/>
      <c r="D664" s="1"/>
      <c r="E664" s="1"/>
      <c r="F664" s="1"/>
      <c r="G664" s="1"/>
      <c r="H664" s="4"/>
      <c r="I664" s="7"/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>
      <c r="A665" s="1"/>
      <c r="B665" s="1"/>
      <c r="C665" s="1"/>
      <c r="D665" s="1"/>
      <c r="E665" s="1"/>
      <c r="F665" s="1"/>
      <c r="G665" s="1"/>
      <c r="H665" s="4"/>
      <c r="I665" s="7"/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>
      <c r="A666" s="1"/>
      <c r="B666" s="1"/>
      <c r="C666" s="1"/>
      <c r="D666" s="1"/>
      <c r="E666" s="1"/>
      <c r="F666" s="1"/>
      <c r="G666" s="1"/>
      <c r="H666" s="4"/>
      <c r="I666" s="7"/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>
      <c r="A667" s="1"/>
      <c r="B667" s="1"/>
      <c r="C667" s="1"/>
      <c r="D667" s="1"/>
      <c r="E667" s="1"/>
      <c r="F667" s="1"/>
      <c r="G667" s="1"/>
      <c r="H667" s="4"/>
      <c r="I667" s="7"/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>
      <c r="A668" s="1"/>
      <c r="B668" s="1"/>
      <c r="C668" s="1"/>
      <c r="D668" s="1"/>
      <c r="E668" s="1"/>
      <c r="F668" s="1"/>
      <c r="G668" s="1"/>
      <c r="H668" s="4"/>
      <c r="I668" s="7"/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>
      <c r="A669" s="1"/>
      <c r="B669" s="1"/>
      <c r="C669" s="1"/>
      <c r="D669" s="1"/>
      <c r="E669" s="1"/>
      <c r="F669" s="1"/>
      <c r="G669" s="1"/>
      <c r="H669" s="4"/>
      <c r="I669" s="7"/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>
      <c r="A670" s="1"/>
      <c r="B670" s="1"/>
      <c r="C670" s="1"/>
      <c r="D670" s="1"/>
      <c r="E670" s="1"/>
      <c r="F670" s="1"/>
      <c r="G670" s="1"/>
      <c r="H670" s="4"/>
      <c r="I670" s="7"/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>
      <c r="A671" s="1"/>
      <c r="B671" s="1"/>
      <c r="C671" s="1"/>
      <c r="D671" s="1"/>
      <c r="E671" s="1"/>
      <c r="F671" s="1"/>
      <c r="G671" s="1"/>
      <c r="H671" s="4"/>
      <c r="I671" s="7"/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>
      <c r="A672" s="1"/>
      <c r="B672" s="1"/>
      <c r="C672" s="1"/>
      <c r="D672" s="1"/>
      <c r="E672" s="1"/>
      <c r="F672" s="1"/>
      <c r="G672" s="1"/>
      <c r="H672" s="4"/>
      <c r="I672" s="7"/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>
      <c r="A673" s="1"/>
      <c r="B673" s="1"/>
      <c r="C673" s="1"/>
      <c r="D673" s="1"/>
      <c r="E673" s="1"/>
      <c r="F673" s="1"/>
      <c r="G673" s="1"/>
      <c r="H673" s="4"/>
      <c r="I673" s="7"/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>
      <c r="A674" s="1"/>
      <c r="B674" s="1"/>
      <c r="C674" s="1"/>
      <c r="D674" s="1"/>
      <c r="E674" s="1"/>
      <c r="F674" s="1"/>
      <c r="G674" s="1"/>
      <c r="H674" s="4"/>
      <c r="I674" s="7"/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>
      <c r="A675" s="1"/>
      <c r="B675" s="1"/>
      <c r="C675" s="1"/>
      <c r="D675" s="1"/>
      <c r="E675" s="1"/>
      <c r="F675" s="1"/>
      <c r="G675" s="1"/>
      <c r="H675" s="4"/>
      <c r="I675" s="7"/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>
      <c r="A676" s="1"/>
      <c r="B676" s="1"/>
      <c r="C676" s="1"/>
      <c r="D676" s="1"/>
      <c r="E676" s="1"/>
      <c r="F676" s="1"/>
      <c r="G676" s="1"/>
      <c r="H676" s="4"/>
      <c r="I676" s="7"/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>
      <c r="A677" s="1"/>
      <c r="B677" s="1"/>
      <c r="C677" s="1"/>
      <c r="D677" s="1"/>
      <c r="E677" s="1"/>
      <c r="F677" s="1"/>
      <c r="G677" s="1"/>
      <c r="H677" s="4"/>
      <c r="I677" s="7"/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>
      <c r="A678" s="1"/>
      <c r="B678" s="1"/>
      <c r="C678" s="1"/>
      <c r="D678" s="1"/>
      <c r="E678" s="1"/>
      <c r="F678" s="1"/>
      <c r="G678" s="1"/>
      <c r="H678" s="4"/>
      <c r="I678" s="7"/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>
      <c r="A679" s="1"/>
      <c r="B679" s="1"/>
      <c r="C679" s="1"/>
      <c r="D679" s="1"/>
      <c r="E679" s="1"/>
      <c r="F679" s="1"/>
      <c r="G679" s="1"/>
      <c r="H679" s="4"/>
      <c r="I679" s="7"/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>
      <c r="A680" s="1"/>
      <c r="B680" s="1"/>
      <c r="C680" s="1"/>
      <c r="D680" s="1"/>
      <c r="E680" s="1"/>
      <c r="F680" s="1"/>
      <c r="G680" s="1"/>
      <c r="H680" s="4"/>
      <c r="I680" s="7"/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>
      <c r="A681" s="1"/>
      <c r="B681" s="1"/>
      <c r="C681" s="1"/>
      <c r="D681" s="1"/>
      <c r="E681" s="1"/>
      <c r="F681" s="1"/>
      <c r="G681" s="1"/>
      <c r="H681" s="4"/>
      <c r="I681" s="7"/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>
      <c r="A682" s="1"/>
      <c r="B682" s="1"/>
      <c r="C682" s="1"/>
      <c r="D682" s="1"/>
      <c r="E682" s="1"/>
      <c r="F682" s="1"/>
      <c r="G682" s="1"/>
      <c r="H682" s="4"/>
      <c r="I682" s="7"/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>
      <c r="A683" s="1"/>
      <c r="B683" s="1"/>
      <c r="C683" s="1"/>
      <c r="D683" s="1"/>
      <c r="E683" s="1"/>
      <c r="F683" s="1"/>
      <c r="G683" s="1"/>
      <c r="H683" s="4"/>
      <c r="I683" s="7"/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>
      <c r="A684" s="1"/>
      <c r="B684" s="1"/>
      <c r="C684" s="1"/>
      <c r="D684" s="1"/>
      <c r="E684" s="1"/>
      <c r="F684" s="1"/>
      <c r="G684" s="1"/>
      <c r="H684" s="4"/>
      <c r="I684" s="7"/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>
      <c r="A685" s="1"/>
      <c r="B685" s="1"/>
      <c r="C685" s="1"/>
      <c r="D685" s="1"/>
      <c r="E685" s="1"/>
      <c r="F685" s="1"/>
      <c r="G685" s="1"/>
      <c r="H685" s="4"/>
      <c r="I685" s="7"/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>
      <c r="A686" s="1"/>
      <c r="B686" s="1"/>
      <c r="C686" s="1"/>
      <c r="D686" s="1"/>
      <c r="E686" s="1"/>
      <c r="F686" s="1"/>
      <c r="G686" s="1"/>
      <c r="H686" s="4"/>
      <c r="I686" s="7"/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>
      <c r="A687" s="1"/>
      <c r="B687" s="1"/>
      <c r="C687" s="1"/>
      <c r="D687" s="1"/>
      <c r="E687" s="1"/>
      <c r="F687" s="1"/>
      <c r="G687" s="1"/>
      <c r="H687" s="4"/>
      <c r="I687" s="7"/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>
      <c r="A688" s="1"/>
      <c r="B688" s="1"/>
      <c r="C688" s="1"/>
      <c r="D688" s="1"/>
      <c r="E688" s="1"/>
      <c r="F688" s="1"/>
      <c r="G688" s="1"/>
      <c r="H688" s="4"/>
      <c r="I688" s="7"/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>
      <c r="A689" s="1"/>
      <c r="B689" s="1"/>
      <c r="C689" s="1"/>
      <c r="D689" s="1"/>
      <c r="E689" s="1"/>
      <c r="F689" s="1"/>
      <c r="G689" s="1"/>
      <c r="H689" s="4"/>
      <c r="I689" s="7"/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>
      <c r="A690" s="1"/>
      <c r="B690" s="1"/>
      <c r="C690" s="1"/>
      <c r="D690" s="1"/>
      <c r="E690" s="1"/>
      <c r="F690" s="1"/>
      <c r="G690" s="1"/>
      <c r="H690" s="4"/>
      <c r="I690" s="7"/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>
      <c r="A691" s="1"/>
      <c r="B691" s="1"/>
      <c r="C691" s="1"/>
      <c r="D691" s="1"/>
      <c r="E691" s="1"/>
      <c r="F691" s="1"/>
      <c r="G691" s="1"/>
      <c r="H691" s="4"/>
      <c r="I691" s="7"/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>
      <c r="A692" s="1"/>
      <c r="B692" s="1"/>
      <c r="C692" s="1"/>
      <c r="D692" s="1"/>
      <c r="E692" s="1"/>
      <c r="F692" s="1"/>
      <c r="G692" s="1"/>
      <c r="H692" s="4"/>
      <c r="I692" s="7"/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>
      <c r="A693" s="1"/>
      <c r="B693" s="1"/>
      <c r="C693" s="1"/>
      <c r="D693" s="1"/>
      <c r="E693" s="1"/>
      <c r="F693" s="1"/>
      <c r="G693" s="1"/>
      <c r="H693" s="4"/>
      <c r="I693" s="7"/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>
      <c r="A694" s="1"/>
      <c r="B694" s="1"/>
      <c r="C694" s="1"/>
      <c r="D694" s="1"/>
      <c r="E694" s="1"/>
      <c r="F694" s="1"/>
      <c r="G694" s="1"/>
      <c r="H694" s="4"/>
      <c r="I694" s="7"/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>
      <c r="A695" s="1"/>
      <c r="B695" s="1"/>
      <c r="C695" s="1"/>
      <c r="D695" s="1"/>
      <c r="E695" s="1"/>
      <c r="F695" s="1"/>
      <c r="G695" s="1"/>
      <c r="H695" s="4"/>
      <c r="I695" s="7"/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>
      <c r="A696" s="1"/>
      <c r="B696" s="1"/>
      <c r="C696" s="1"/>
      <c r="D696" s="1"/>
      <c r="E696" s="1"/>
      <c r="F696" s="1"/>
      <c r="G696" s="1"/>
      <c r="H696" s="4"/>
      <c r="I696" s="7"/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>
      <c r="A697" s="1"/>
      <c r="B697" s="1"/>
      <c r="C697" s="1"/>
      <c r="D697" s="1"/>
      <c r="E697" s="1"/>
      <c r="F697" s="1"/>
      <c r="G697" s="1"/>
      <c r="H697" s="4"/>
      <c r="I697" s="7"/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>
      <c r="A698" s="1"/>
      <c r="B698" s="1"/>
      <c r="C698" s="1"/>
      <c r="D698" s="1"/>
      <c r="E698" s="1"/>
      <c r="F698" s="1"/>
      <c r="G698" s="1"/>
      <c r="H698" s="4"/>
      <c r="I698" s="7"/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>
      <c r="A699" s="1"/>
      <c r="B699" s="1"/>
      <c r="C699" s="1"/>
      <c r="D699" s="1"/>
      <c r="E699" s="1"/>
      <c r="F699" s="1"/>
      <c r="G699" s="1"/>
      <c r="H699" s="4"/>
      <c r="I699" s="7"/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>
      <c r="A700" s="1"/>
      <c r="B700" s="1"/>
      <c r="C700" s="1"/>
      <c r="D700" s="1"/>
      <c r="E700" s="1"/>
      <c r="F700" s="1"/>
      <c r="G700" s="1"/>
      <c r="H700" s="4"/>
      <c r="I700" s="7"/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>
      <c r="A701" s="1"/>
      <c r="B701" s="1"/>
      <c r="C701" s="1"/>
      <c r="D701" s="1"/>
      <c r="E701" s="1"/>
      <c r="F701" s="1"/>
      <c r="G701" s="1"/>
      <c r="H701" s="4"/>
      <c r="I701" s="7"/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>
      <c r="A702" s="1"/>
      <c r="B702" s="1"/>
      <c r="C702" s="1"/>
      <c r="D702" s="1"/>
      <c r="E702" s="1"/>
      <c r="F702" s="1"/>
      <c r="G702" s="1"/>
      <c r="H702" s="4"/>
      <c r="I702" s="7"/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>
      <c r="A703" s="1"/>
      <c r="B703" s="1"/>
      <c r="C703" s="1"/>
      <c r="D703" s="1"/>
      <c r="E703" s="1"/>
      <c r="F703" s="1"/>
      <c r="G703" s="1"/>
      <c r="H703" s="4"/>
      <c r="I703" s="7"/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>
      <c r="A704" s="1"/>
      <c r="B704" s="1"/>
      <c r="C704" s="1"/>
      <c r="D704" s="1"/>
      <c r="E704" s="1"/>
      <c r="F704" s="1"/>
      <c r="G704" s="1"/>
      <c r="H704" s="4"/>
      <c r="I704" s="7"/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>
      <c r="A705" s="1"/>
      <c r="B705" s="1"/>
      <c r="C705" s="1"/>
      <c r="D705" s="1"/>
      <c r="E705" s="1"/>
      <c r="F705" s="1"/>
      <c r="G705" s="1"/>
      <c r="H705" s="4"/>
      <c r="I705" s="7"/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>
      <c r="A706" s="1"/>
      <c r="B706" s="1"/>
      <c r="C706" s="1"/>
      <c r="D706" s="1"/>
      <c r="E706" s="1"/>
      <c r="F706" s="1"/>
      <c r="G706" s="1"/>
      <c r="H706" s="4"/>
      <c r="I706" s="7"/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>
      <c r="A707" s="1"/>
      <c r="B707" s="1"/>
      <c r="C707" s="1"/>
      <c r="D707" s="1"/>
      <c r="E707" s="1"/>
      <c r="F707" s="1"/>
      <c r="G707" s="1"/>
      <c r="H707" s="4"/>
      <c r="I707" s="7"/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>
      <c r="A708" s="1"/>
      <c r="B708" s="1"/>
      <c r="C708" s="1"/>
      <c r="D708" s="1"/>
      <c r="E708" s="1"/>
      <c r="F708" s="1"/>
      <c r="G708" s="1"/>
      <c r="H708" s="4"/>
      <c r="I708" s="7"/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>
      <c r="A709" s="1"/>
      <c r="B709" s="1"/>
      <c r="C709" s="1"/>
      <c r="D709" s="1"/>
      <c r="E709" s="1"/>
      <c r="F709" s="1"/>
      <c r="G709" s="1"/>
      <c r="H709" s="4"/>
      <c r="I709" s="7"/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>
      <c r="A710" s="1"/>
      <c r="B710" s="1"/>
      <c r="C710" s="1"/>
      <c r="D710" s="1"/>
      <c r="E710" s="1"/>
      <c r="F710" s="1"/>
      <c r="G710" s="1"/>
      <c r="H710" s="4"/>
      <c r="I710" s="7"/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>
      <c r="A711" s="1"/>
      <c r="B711" s="1"/>
      <c r="C711" s="1"/>
      <c r="D711" s="1"/>
      <c r="E711" s="1"/>
      <c r="F711" s="1"/>
      <c r="G711" s="1"/>
      <c r="H711" s="4"/>
      <c r="I711" s="7"/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>
      <c r="A712" s="1"/>
      <c r="B712" s="1"/>
      <c r="C712" s="1"/>
      <c r="D712" s="1"/>
      <c r="E712" s="1"/>
      <c r="F712" s="1"/>
      <c r="G712" s="1"/>
      <c r="H712" s="4"/>
      <c r="I712" s="7"/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>
      <c r="A713" s="1"/>
      <c r="B713" s="1"/>
      <c r="C713" s="1"/>
      <c r="D713" s="1"/>
      <c r="E713" s="1"/>
      <c r="F713" s="1"/>
      <c r="G713" s="1"/>
      <c r="H713" s="4"/>
      <c r="I713" s="7"/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>
      <c r="A714" s="1"/>
      <c r="B714" s="1"/>
      <c r="C714" s="1"/>
      <c r="D714" s="1"/>
      <c r="E714" s="1"/>
      <c r="F714" s="1"/>
      <c r="G714" s="1"/>
      <c r="H714" s="4"/>
      <c r="I714" s="7"/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>
      <c r="A715" s="1"/>
      <c r="B715" s="1"/>
      <c r="C715" s="1"/>
      <c r="D715" s="1"/>
      <c r="E715" s="1"/>
      <c r="F715" s="1"/>
      <c r="G715" s="1"/>
      <c r="H715" s="4"/>
      <c r="I715" s="7"/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>
      <c r="A716" s="1"/>
      <c r="B716" s="1"/>
      <c r="C716" s="1"/>
      <c r="D716" s="1"/>
      <c r="E716" s="1"/>
      <c r="F716" s="1"/>
      <c r="G716" s="1"/>
      <c r="H716" s="4"/>
      <c r="I716" s="7"/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>
      <c r="A717" s="1"/>
      <c r="B717" s="1"/>
      <c r="C717" s="1"/>
      <c r="D717" s="1"/>
      <c r="E717" s="1"/>
      <c r="F717" s="1"/>
      <c r="G717" s="1"/>
      <c r="H717" s="4"/>
      <c r="I717" s="7"/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>
      <c r="A718" s="1"/>
      <c r="B718" s="1"/>
      <c r="C718" s="1"/>
      <c r="D718" s="1"/>
      <c r="E718" s="1"/>
      <c r="F718" s="1"/>
      <c r="G718" s="1"/>
      <c r="H718" s="4"/>
      <c r="I718" s="7"/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>
      <c r="A719" s="1"/>
      <c r="B719" s="1"/>
      <c r="C719" s="1"/>
      <c r="D719" s="1"/>
      <c r="E719" s="1"/>
      <c r="F719" s="1"/>
      <c r="G719" s="1"/>
      <c r="H719" s="4"/>
      <c r="I719" s="7"/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>
      <c r="A720" s="1"/>
      <c r="B720" s="1"/>
      <c r="C720" s="1"/>
      <c r="D720" s="1"/>
      <c r="E720" s="1"/>
      <c r="F720" s="1"/>
      <c r="G720" s="1"/>
      <c r="H720" s="4"/>
      <c r="I720" s="7"/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>
      <c r="A721" s="1"/>
      <c r="B721" s="1"/>
      <c r="C721" s="1"/>
      <c r="D721" s="1"/>
      <c r="E721" s="1"/>
      <c r="F721" s="1"/>
      <c r="G721" s="1"/>
      <c r="H721" s="4"/>
      <c r="I721" s="7"/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>
      <c r="A722" s="1"/>
      <c r="B722" s="1"/>
      <c r="C722" s="1"/>
      <c r="D722" s="1"/>
      <c r="E722" s="1"/>
      <c r="F722" s="1"/>
      <c r="G722" s="1"/>
      <c r="H722" s="4"/>
      <c r="I722" s="7"/>
      <c r="J722" s="7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>
      <c r="A723" s="1"/>
      <c r="B723" s="1"/>
      <c r="C723" s="1"/>
      <c r="D723" s="1"/>
      <c r="E723" s="1"/>
      <c r="F723" s="1"/>
      <c r="G723" s="1"/>
      <c r="H723" s="4"/>
      <c r="I723" s="7"/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>
      <c r="A724" s="1"/>
      <c r="B724" s="1"/>
      <c r="C724" s="1"/>
      <c r="D724" s="1"/>
      <c r="E724" s="1"/>
      <c r="F724" s="1"/>
      <c r="G724" s="1"/>
      <c r="H724" s="4"/>
      <c r="I724" s="7"/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>
      <c r="A725" s="1"/>
      <c r="B725" s="1"/>
      <c r="C725" s="1"/>
      <c r="D725" s="1"/>
      <c r="E725" s="1"/>
      <c r="F725" s="1"/>
      <c r="G725" s="1"/>
      <c r="H725" s="4"/>
      <c r="I725" s="7"/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>
      <c r="A726" s="1"/>
      <c r="B726" s="1"/>
      <c r="C726" s="1"/>
      <c r="D726" s="1"/>
      <c r="E726" s="1"/>
      <c r="F726" s="1"/>
      <c r="G726" s="1"/>
      <c r="H726" s="4"/>
      <c r="I726" s="7"/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>
      <c r="A727" s="1"/>
      <c r="B727" s="1"/>
      <c r="C727" s="1"/>
      <c r="D727" s="1"/>
      <c r="E727" s="1"/>
      <c r="F727" s="1"/>
      <c r="G727" s="1"/>
      <c r="H727" s="4"/>
      <c r="I727" s="7"/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>
      <c r="A728" s="1"/>
      <c r="B728" s="1"/>
      <c r="C728" s="1"/>
      <c r="D728" s="1"/>
      <c r="E728" s="1"/>
      <c r="F728" s="1"/>
      <c r="G728" s="1"/>
      <c r="H728" s="4"/>
      <c r="I728" s="7"/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>
      <c r="A729" s="1"/>
      <c r="B729" s="1"/>
      <c r="C729" s="1"/>
      <c r="D729" s="1"/>
      <c r="E729" s="1"/>
      <c r="F729" s="1"/>
      <c r="G729" s="1"/>
      <c r="H729" s="4"/>
      <c r="I729" s="7"/>
      <c r="J729" s="7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>
      <c r="A730" s="1"/>
      <c r="B730" s="1"/>
      <c r="C730" s="1"/>
      <c r="D730" s="1"/>
      <c r="E730" s="1"/>
      <c r="F730" s="1"/>
      <c r="G730" s="1"/>
      <c r="H730" s="4"/>
      <c r="I730" s="7"/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>
      <c r="A731" s="1"/>
      <c r="B731" s="1"/>
      <c r="C731" s="1"/>
      <c r="D731" s="1"/>
      <c r="E731" s="1"/>
      <c r="F731" s="1"/>
      <c r="G731" s="1"/>
      <c r="H731" s="4"/>
      <c r="I731" s="7"/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>
      <c r="A732" s="1"/>
      <c r="B732" s="1"/>
      <c r="C732" s="1"/>
      <c r="D732" s="1"/>
      <c r="E732" s="1"/>
      <c r="F732" s="1"/>
      <c r="G732" s="1"/>
      <c r="H732" s="4"/>
      <c r="I732" s="7"/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>
      <c r="A733" s="1"/>
      <c r="B733" s="1"/>
      <c r="C733" s="1"/>
      <c r="D733" s="1"/>
      <c r="E733" s="1"/>
      <c r="F733" s="1"/>
      <c r="G733" s="1"/>
      <c r="H733" s="4"/>
      <c r="I733" s="7"/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>
      <c r="A734" s="1"/>
      <c r="B734" s="1"/>
      <c r="C734" s="1"/>
      <c r="D734" s="1"/>
      <c r="E734" s="1"/>
      <c r="F734" s="1"/>
      <c r="G734" s="1"/>
      <c r="H734" s="4"/>
      <c r="I734" s="7"/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>
      <c r="A735" s="1"/>
      <c r="B735" s="1"/>
      <c r="C735" s="1"/>
      <c r="D735" s="1"/>
      <c r="E735" s="1"/>
      <c r="F735" s="1"/>
      <c r="G735" s="1"/>
      <c r="H735" s="4"/>
      <c r="I735" s="7"/>
      <c r="J735" s="7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>
      <c r="A736" s="1"/>
      <c r="B736" s="1"/>
      <c r="C736" s="1"/>
      <c r="D736" s="1"/>
      <c r="E736" s="1"/>
      <c r="F736" s="1"/>
      <c r="G736" s="1"/>
      <c r="H736" s="4"/>
      <c r="I736" s="7"/>
      <c r="J736" s="7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>
      <c r="A737" s="1"/>
      <c r="B737" s="1"/>
      <c r="C737" s="1"/>
      <c r="D737" s="1"/>
      <c r="E737" s="1"/>
      <c r="F737" s="1"/>
      <c r="G737" s="1"/>
      <c r="H737" s="4"/>
      <c r="I737" s="7"/>
      <c r="J737" s="7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>
      <c r="A738" s="1"/>
      <c r="B738" s="1"/>
      <c r="C738" s="1"/>
      <c r="D738" s="1"/>
      <c r="E738" s="1"/>
      <c r="F738" s="1"/>
      <c r="G738" s="1"/>
      <c r="H738" s="4"/>
      <c r="I738" s="7"/>
      <c r="J738" s="7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>
      <c r="A739" s="1"/>
      <c r="B739" s="1"/>
      <c r="C739" s="1"/>
      <c r="D739" s="1"/>
      <c r="E739" s="1"/>
      <c r="F739" s="1"/>
      <c r="G739" s="1"/>
      <c r="H739" s="4"/>
      <c r="I739" s="7"/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>
      <c r="A740" s="1"/>
      <c r="B740" s="1"/>
      <c r="C740" s="1"/>
      <c r="D740" s="1"/>
      <c r="E740" s="1"/>
      <c r="F740" s="1"/>
      <c r="G740" s="1"/>
      <c r="H740" s="4"/>
      <c r="I740" s="7"/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>
      <c r="A741" s="1"/>
      <c r="B741" s="1"/>
      <c r="C741" s="1"/>
      <c r="D741" s="1"/>
      <c r="E741" s="1"/>
      <c r="F741" s="1"/>
      <c r="G741" s="1"/>
      <c r="H741" s="4"/>
      <c r="I741" s="7"/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>
      <c r="A742" s="1"/>
      <c r="B742" s="1"/>
      <c r="C742" s="1"/>
      <c r="D742" s="1"/>
      <c r="E742" s="1"/>
      <c r="F742" s="1"/>
      <c r="G742" s="1"/>
      <c r="H742" s="4"/>
      <c r="I742" s="7"/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>
      <c r="A743" s="1"/>
      <c r="B743" s="1"/>
      <c r="C743" s="1"/>
      <c r="D743" s="1"/>
      <c r="E743" s="1"/>
      <c r="F743" s="1"/>
      <c r="G743" s="1"/>
      <c r="H743" s="4"/>
      <c r="I743" s="7"/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>
      <c r="A744" s="1"/>
      <c r="B744" s="1"/>
      <c r="C744" s="1"/>
      <c r="D744" s="1"/>
      <c r="E744" s="1"/>
      <c r="F744" s="1"/>
      <c r="G744" s="1"/>
      <c r="H744" s="4"/>
      <c r="I744" s="7"/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>
      <c r="A745" s="1"/>
      <c r="B745" s="1"/>
      <c r="C745" s="1"/>
      <c r="D745" s="1"/>
      <c r="E745" s="1"/>
      <c r="F745" s="1"/>
      <c r="G745" s="1"/>
      <c r="H745" s="4"/>
      <c r="I745" s="7"/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>
      <c r="A746" s="1"/>
      <c r="B746" s="1"/>
      <c r="C746" s="1"/>
      <c r="D746" s="1"/>
      <c r="E746" s="1"/>
      <c r="F746" s="1"/>
      <c r="G746" s="1"/>
      <c r="H746" s="4"/>
      <c r="I746" s="7"/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>
      <c r="A747" s="1"/>
      <c r="B747" s="1"/>
      <c r="C747" s="1"/>
      <c r="D747" s="1"/>
      <c r="E747" s="1"/>
      <c r="F747" s="1"/>
      <c r="G747" s="1"/>
      <c r="H747" s="4"/>
      <c r="I747" s="7"/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>
      <c r="A748" s="1"/>
      <c r="B748" s="1"/>
      <c r="C748" s="1"/>
      <c r="D748" s="1"/>
      <c r="E748" s="1"/>
      <c r="F748" s="1"/>
      <c r="G748" s="1"/>
      <c r="H748" s="4"/>
      <c r="I748" s="7"/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>
      <c r="A749" s="1"/>
      <c r="B749" s="1"/>
      <c r="C749" s="1"/>
      <c r="D749" s="1"/>
      <c r="E749" s="1"/>
      <c r="F749" s="1"/>
      <c r="G749" s="1"/>
      <c r="H749" s="4"/>
      <c r="I749" s="7"/>
      <c r="J749" s="7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>
      <c r="A750" s="1"/>
      <c r="B750" s="1"/>
      <c r="C750" s="1"/>
      <c r="D750" s="1"/>
      <c r="E750" s="1"/>
      <c r="F750" s="1"/>
      <c r="G750" s="1"/>
      <c r="H750" s="4"/>
      <c r="I750" s="7"/>
      <c r="J750" s="7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>
      <c r="A751" s="1"/>
      <c r="B751" s="1"/>
      <c r="C751" s="1"/>
      <c r="D751" s="1"/>
      <c r="E751" s="1"/>
      <c r="F751" s="1"/>
      <c r="G751" s="1"/>
      <c r="H751" s="4"/>
      <c r="I751" s="7"/>
      <c r="J751" s="7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>
      <c r="A752" s="1"/>
      <c r="B752" s="1"/>
      <c r="C752" s="1"/>
      <c r="D752" s="1"/>
      <c r="E752" s="1"/>
      <c r="F752" s="1"/>
      <c r="G752" s="1"/>
      <c r="H752" s="4"/>
      <c r="I752" s="7"/>
      <c r="J752" s="7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>
      <c r="A753" s="1"/>
      <c r="B753" s="1"/>
      <c r="C753" s="1"/>
      <c r="D753" s="1"/>
      <c r="E753" s="1"/>
      <c r="F753" s="1"/>
      <c r="G753" s="1"/>
      <c r="H753" s="4"/>
      <c r="I753" s="7"/>
      <c r="J753" s="7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>
      <c r="A754" s="1"/>
      <c r="B754" s="1"/>
      <c r="C754" s="1"/>
      <c r="D754" s="1"/>
      <c r="E754" s="1"/>
      <c r="F754" s="1"/>
      <c r="G754" s="1"/>
      <c r="H754" s="4"/>
      <c r="I754" s="7"/>
      <c r="J754" s="7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>
      <c r="A755" s="1"/>
      <c r="B755" s="1"/>
      <c r="C755" s="1"/>
      <c r="D755" s="1"/>
      <c r="E755" s="1"/>
      <c r="F755" s="1"/>
      <c r="G755" s="1"/>
      <c r="H755" s="4"/>
      <c r="I755" s="7"/>
      <c r="J755" s="7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>
      <c r="A756" s="1"/>
      <c r="B756" s="1"/>
      <c r="C756" s="1"/>
      <c r="D756" s="1"/>
      <c r="E756" s="1"/>
      <c r="F756" s="1"/>
      <c r="G756" s="1"/>
      <c r="H756" s="4"/>
      <c r="I756" s="7"/>
      <c r="J756" s="7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>
      <c r="A757" s="1"/>
      <c r="B757" s="1"/>
      <c r="C757" s="1"/>
      <c r="D757" s="1"/>
      <c r="E757" s="1"/>
      <c r="F757" s="1"/>
      <c r="G757" s="1"/>
      <c r="H757" s="4"/>
      <c r="I757" s="7"/>
      <c r="J757" s="7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>
      <c r="A758" s="1"/>
      <c r="B758" s="1"/>
      <c r="C758" s="1"/>
      <c r="D758" s="1"/>
      <c r="E758" s="1"/>
      <c r="F758" s="1"/>
      <c r="G758" s="1"/>
      <c r="H758" s="4"/>
      <c r="I758" s="7"/>
      <c r="J758" s="7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>
      <c r="A759" s="1"/>
      <c r="B759" s="1"/>
      <c r="C759" s="1"/>
      <c r="D759" s="1"/>
      <c r="E759" s="1"/>
      <c r="F759" s="1"/>
      <c r="G759" s="1"/>
      <c r="H759" s="4"/>
      <c r="I759" s="7"/>
      <c r="J759" s="7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>
      <c r="A760" s="1"/>
      <c r="B760" s="1"/>
      <c r="C760" s="1"/>
      <c r="D760" s="1"/>
      <c r="E760" s="1"/>
      <c r="F760" s="1"/>
      <c r="G760" s="1"/>
      <c r="H760" s="4"/>
      <c r="I760" s="7"/>
      <c r="J760" s="7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>
      <c r="A761" s="1"/>
      <c r="B761" s="1"/>
      <c r="C761" s="1"/>
      <c r="D761" s="1"/>
      <c r="E761" s="1"/>
      <c r="F761" s="1"/>
      <c r="G761" s="1"/>
      <c r="H761" s="4"/>
      <c r="I761" s="7"/>
      <c r="J761" s="7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>
      <c r="A762" s="1"/>
      <c r="B762" s="1"/>
      <c r="C762" s="1"/>
      <c r="D762" s="1"/>
      <c r="E762" s="1"/>
      <c r="F762" s="1"/>
      <c r="G762" s="1"/>
      <c r="H762" s="4"/>
      <c r="I762" s="7"/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>
      <c r="A763" s="1"/>
      <c r="B763" s="1"/>
      <c r="C763" s="1"/>
      <c r="D763" s="1"/>
      <c r="E763" s="1"/>
      <c r="F763" s="1"/>
      <c r="G763" s="1"/>
      <c r="H763" s="4"/>
      <c r="I763" s="7"/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>
      <c r="A764" s="1"/>
      <c r="B764" s="1"/>
      <c r="C764" s="1"/>
      <c r="D764" s="1"/>
      <c r="E764" s="1"/>
      <c r="F764" s="1"/>
      <c r="G764" s="1"/>
      <c r="H764" s="4"/>
      <c r="I764" s="7"/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>
      <c r="A765" s="1"/>
      <c r="B765" s="1"/>
      <c r="C765" s="1"/>
      <c r="D765" s="1"/>
      <c r="E765" s="1"/>
      <c r="F765" s="1"/>
      <c r="G765" s="1"/>
      <c r="H765" s="4"/>
      <c r="I765" s="7"/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>
      <c r="A766" s="1"/>
      <c r="B766" s="1"/>
      <c r="C766" s="1"/>
      <c r="D766" s="1"/>
      <c r="E766" s="1"/>
      <c r="F766" s="1"/>
      <c r="G766" s="1"/>
      <c r="H766" s="4"/>
      <c r="I766" s="7"/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>
      <c r="A767" s="1"/>
      <c r="B767" s="1"/>
      <c r="C767" s="1"/>
      <c r="D767" s="1"/>
      <c r="E767" s="1"/>
      <c r="F767" s="1"/>
      <c r="G767" s="1"/>
      <c r="H767" s="4"/>
      <c r="I767" s="7"/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>
      <c r="A768" s="1"/>
      <c r="B768" s="1"/>
      <c r="C768" s="1"/>
      <c r="D768" s="1"/>
      <c r="E768" s="1"/>
      <c r="F768" s="1"/>
      <c r="G768" s="1"/>
      <c r="H768" s="4"/>
      <c r="I768" s="7"/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>
      <c r="A769" s="1"/>
      <c r="B769" s="1"/>
      <c r="C769" s="1"/>
      <c r="D769" s="1"/>
      <c r="E769" s="1"/>
      <c r="F769" s="1"/>
      <c r="G769" s="1"/>
      <c r="H769" s="4"/>
      <c r="I769" s="7"/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>
      <c r="A770" s="1"/>
      <c r="B770" s="1"/>
      <c r="C770" s="1"/>
      <c r="D770" s="1"/>
      <c r="E770" s="1"/>
      <c r="F770" s="1"/>
      <c r="G770" s="1"/>
      <c r="H770" s="4"/>
      <c r="I770" s="7"/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>
      <c r="A771" s="1"/>
      <c r="B771" s="1"/>
      <c r="C771" s="1"/>
      <c r="D771" s="1"/>
      <c r="E771" s="1"/>
      <c r="F771" s="1"/>
      <c r="G771" s="1"/>
      <c r="H771" s="4"/>
      <c r="I771" s="7"/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>
      <c r="A772" s="1"/>
      <c r="B772" s="1"/>
      <c r="C772" s="1"/>
      <c r="D772" s="1"/>
      <c r="E772" s="1"/>
      <c r="F772" s="1"/>
      <c r="G772" s="1"/>
      <c r="H772" s="4"/>
      <c r="I772" s="7"/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>
      <c r="A773" s="1"/>
      <c r="B773" s="1"/>
      <c r="C773" s="1"/>
      <c r="D773" s="1"/>
      <c r="E773" s="1"/>
      <c r="F773" s="1"/>
      <c r="G773" s="1"/>
      <c r="H773" s="4"/>
      <c r="I773" s="7"/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>
      <c r="A774" s="1"/>
      <c r="B774" s="1"/>
      <c r="C774" s="1"/>
      <c r="D774" s="1"/>
      <c r="E774" s="1"/>
      <c r="F774" s="1"/>
      <c r="G774" s="1"/>
      <c r="H774" s="4"/>
      <c r="I774" s="7"/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>
      <c r="A775" s="1"/>
      <c r="B775" s="1"/>
      <c r="C775" s="1"/>
      <c r="D775" s="1"/>
      <c r="E775" s="1"/>
      <c r="F775" s="1"/>
      <c r="G775" s="1"/>
      <c r="H775" s="4"/>
      <c r="I775" s="7"/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>
      <c r="A776" s="1"/>
      <c r="B776" s="1"/>
      <c r="C776" s="1"/>
      <c r="D776" s="1"/>
      <c r="E776" s="1"/>
      <c r="F776" s="1"/>
      <c r="G776" s="1"/>
      <c r="H776" s="4"/>
      <c r="I776" s="7"/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>
      <c r="A777" s="1"/>
      <c r="B777" s="1"/>
      <c r="C777" s="1"/>
      <c r="D777" s="1"/>
      <c r="E777" s="1"/>
      <c r="F777" s="1"/>
      <c r="G777" s="1"/>
      <c r="H777" s="4"/>
      <c r="I777" s="7"/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>
      <c r="A778" s="1"/>
      <c r="B778" s="1"/>
      <c r="C778" s="1"/>
      <c r="D778" s="1"/>
      <c r="E778" s="1"/>
      <c r="F778" s="1"/>
      <c r="G778" s="1"/>
      <c r="H778" s="4"/>
      <c r="I778" s="7"/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>
      <c r="A779" s="1"/>
      <c r="B779" s="1"/>
      <c r="C779" s="1"/>
      <c r="D779" s="1"/>
      <c r="E779" s="1"/>
      <c r="F779" s="1"/>
      <c r="G779" s="1"/>
      <c r="H779" s="4"/>
      <c r="I779" s="7"/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>
      <c r="A780" s="1"/>
      <c r="B780" s="1"/>
      <c r="C780" s="1"/>
      <c r="D780" s="1"/>
      <c r="E780" s="1"/>
      <c r="F780" s="1"/>
      <c r="G780" s="1"/>
      <c r="H780" s="4"/>
      <c r="I780" s="7"/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>
      <c r="A781" s="1"/>
      <c r="B781" s="1"/>
      <c r="C781" s="1"/>
      <c r="D781" s="1"/>
      <c r="E781" s="1"/>
      <c r="F781" s="1"/>
      <c r="G781" s="1"/>
      <c r="H781" s="4"/>
      <c r="I781" s="7"/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>
      <c r="A782" s="1"/>
      <c r="B782" s="1"/>
      <c r="C782" s="1"/>
      <c r="D782" s="1"/>
      <c r="E782" s="1"/>
      <c r="F782" s="1"/>
      <c r="G782" s="1"/>
      <c r="H782" s="4"/>
      <c r="I782" s="7"/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>
      <c r="A783" s="1"/>
      <c r="B783" s="1"/>
      <c r="C783" s="1"/>
      <c r="D783" s="1"/>
      <c r="E783" s="1"/>
      <c r="F783" s="1"/>
      <c r="G783" s="1"/>
      <c r="H783" s="4"/>
      <c r="I783" s="7"/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>
      <c r="A784" s="1"/>
      <c r="B784" s="1"/>
      <c r="C784" s="1"/>
      <c r="D784" s="1"/>
      <c r="E784" s="1"/>
      <c r="F784" s="1"/>
      <c r="G784" s="1"/>
      <c r="H784" s="4"/>
      <c r="I784" s="7"/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>
      <c r="A785" s="1"/>
      <c r="B785" s="1"/>
      <c r="C785" s="1"/>
      <c r="D785" s="1"/>
      <c r="E785" s="1"/>
      <c r="F785" s="1"/>
      <c r="G785" s="1"/>
      <c r="H785" s="4"/>
      <c r="I785" s="7"/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>
      <c r="A786" s="1"/>
      <c r="B786" s="1"/>
      <c r="C786" s="1"/>
      <c r="D786" s="1"/>
      <c r="E786" s="1"/>
      <c r="F786" s="1"/>
      <c r="G786" s="1"/>
      <c r="H786" s="4"/>
      <c r="I786" s="7"/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>
      <c r="A787" s="1"/>
      <c r="B787" s="1"/>
      <c r="C787" s="1"/>
      <c r="D787" s="1"/>
      <c r="E787" s="1"/>
      <c r="F787" s="1"/>
      <c r="G787" s="1"/>
      <c r="H787" s="4"/>
      <c r="I787" s="7"/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>
      <c r="A788" s="1"/>
      <c r="B788" s="1"/>
      <c r="C788" s="1"/>
      <c r="D788" s="1"/>
      <c r="E788" s="1"/>
      <c r="F788" s="1"/>
      <c r="G788" s="1"/>
      <c r="H788" s="4"/>
      <c r="I788" s="7"/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>
      <c r="A789" s="1"/>
      <c r="B789" s="1"/>
      <c r="C789" s="1"/>
      <c r="D789" s="1"/>
      <c r="E789" s="1"/>
      <c r="F789" s="1"/>
      <c r="G789" s="1"/>
      <c r="H789" s="4"/>
      <c r="I789" s="7"/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>
      <c r="A790" s="1"/>
      <c r="B790" s="1"/>
      <c r="C790" s="1"/>
      <c r="D790" s="1"/>
      <c r="E790" s="1"/>
      <c r="F790" s="1"/>
      <c r="G790" s="1"/>
      <c r="H790" s="4"/>
      <c r="I790" s="7"/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>
      <c r="A791" s="1"/>
      <c r="B791" s="1"/>
      <c r="C791" s="1"/>
      <c r="D791" s="1"/>
      <c r="E791" s="1"/>
      <c r="F791" s="1"/>
      <c r="G791" s="1"/>
      <c r="H791" s="4"/>
      <c r="I791" s="7"/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>
      <c r="A792" s="1"/>
      <c r="B792" s="1"/>
      <c r="C792" s="1"/>
      <c r="D792" s="1"/>
      <c r="E792" s="1"/>
      <c r="F792" s="1"/>
      <c r="G792" s="1"/>
      <c r="H792" s="4"/>
      <c r="I792" s="7"/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>
      <c r="A793" s="1"/>
      <c r="B793" s="1"/>
      <c r="C793" s="1"/>
      <c r="D793" s="1"/>
      <c r="E793" s="1"/>
      <c r="F793" s="1"/>
      <c r="G793" s="1"/>
      <c r="H793" s="4"/>
      <c r="I793" s="7"/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>
      <c r="A794" s="1"/>
      <c r="B794" s="1"/>
      <c r="C794" s="1"/>
      <c r="D794" s="1"/>
      <c r="E794" s="1"/>
      <c r="F794" s="1"/>
      <c r="G794" s="1"/>
      <c r="H794" s="4"/>
      <c r="I794" s="7"/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>
      <c r="A795" s="1"/>
      <c r="B795" s="1"/>
      <c r="C795" s="1"/>
      <c r="D795" s="1"/>
      <c r="E795" s="1"/>
      <c r="F795" s="1"/>
      <c r="G795" s="1"/>
      <c r="H795" s="4"/>
      <c r="I795" s="7"/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>
      <c r="A796" s="1"/>
      <c r="B796" s="1"/>
      <c r="C796" s="1"/>
      <c r="D796" s="1"/>
      <c r="E796" s="1"/>
      <c r="F796" s="1"/>
      <c r="G796" s="1"/>
      <c r="H796" s="4"/>
      <c r="I796" s="7"/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>
      <c r="A797" s="1"/>
      <c r="B797" s="1"/>
      <c r="C797" s="1"/>
      <c r="D797" s="1"/>
      <c r="E797" s="1"/>
      <c r="F797" s="1"/>
      <c r="G797" s="1"/>
      <c r="H797" s="4"/>
      <c r="I797" s="7"/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>
      <c r="A798" s="1"/>
      <c r="B798" s="1"/>
      <c r="C798" s="1"/>
      <c r="D798" s="1"/>
      <c r="E798" s="1"/>
      <c r="F798" s="1"/>
      <c r="G798" s="1"/>
      <c r="H798" s="4"/>
      <c r="I798" s="7"/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>
      <c r="A799" s="1"/>
      <c r="B799" s="1"/>
      <c r="C799" s="1"/>
      <c r="D799" s="1"/>
      <c r="E799" s="1"/>
      <c r="F799" s="1"/>
      <c r="G799" s="1"/>
      <c r="H799" s="4"/>
      <c r="I799" s="7"/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>
      <c r="A800" s="1"/>
      <c r="B800" s="1"/>
      <c r="C800" s="1"/>
      <c r="D800" s="1"/>
      <c r="E800" s="1"/>
      <c r="F800" s="1"/>
      <c r="G800" s="1"/>
      <c r="H800" s="4"/>
      <c r="I800" s="7"/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>
      <c r="A801" s="1"/>
      <c r="B801" s="1"/>
      <c r="C801" s="1"/>
      <c r="D801" s="1"/>
      <c r="E801" s="1"/>
      <c r="F801" s="1"/>
      <c r="G801" s="1"/>
      <c r="H801" s="4"/>
      <c r="I801" s="7"/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>
      <c r="A802" s="1"/>
      <c r="B802" s="1"/>
      <c r="C802" s="1"/>
      <c r="D802" s="1"/>
      <c r="E802" s="1"/>
      <c r="F802" s="1"/>
      <c r="G802" s="1"/>
      <c r="H802" s="4"/>
      <c r="I802" s="7"/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>
      <c r="A803" s="1"/>
      <c r="B803" s="1"/>
      <c r="C803" s="1"/>
      <c r="D803" s="1"/>
      <c r="E803" s="1"/>
      <c r="F803" s="1"/>
      <c r="G803" s="1"/>
      <c r="H803" s="4"/>
      <c r="I803" s="7"/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>
      <c r="A804" s="1"/>
      <c r="B804" s="1"/>
      <c r="C804" s="1"/>
      <c r="D804" s="1"/>
      <c r="E804" s="1"/>
      <c r="F804" s="1"/>
      <c r="G804" s="1"/>
      <c r="H804" s="4"/>
      <c r="I804" s="7"/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>
      <c r="A805" s="1"/>
      <c r="B805" s="1"/>
      <c r="C805" s="1"/>
      <c r="D805" s="1"/>
      <c r="E805" s="1"/>
      <c r="F805" s="1"/>
      <c r="G805" s="1"/>
      <c r="H805" s="4"/>
      <c r="I805" s="7"/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>
      <c r="A806" s="1"/>
      <c r="B806" s="1"/>
      <c r="C806" s="1"/>
      <c r="D806" s="1"/>
      <c r="E806" s="1"/>
      <c r="F806" s="1"/>
      <c r="G806" s="1"/>
      <c r="H806" s="4"/>
      <c r="I806" s="7"/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>
      <c r="A807" s="1"/>
      <c r="B807" s="1"/>
      <c r="C807" s="1"/>
      <c r="D807" s="1"/>
      <c r="E807" s="1"/>
      <c r="F807" s="1"/>
      <c r="G807" s="1"/>
      <c r="H807" s="4"/>
      <c r="I807" s="7"/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>
      <c r="A808" s="1"/>
      <c r="B808" s="1"/>
      <c r="C808" s="1"/>
      <c r="D808" s="1"/>
      <c r="E808" s="1"/>
      <c r="F808" s="1"/>
      <c r="G808" s="1"/>
      <c r="H808" s="4"/>
      <c r="I808" s="7"/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>
      <c r="A809" s="1"/>
      <c r="B809" s="1"/>
      <c r="C809" s="1"/>
      <c r="D809" s="1"/>
      <c r="E809" s="1"/>
      <c r="F809" s="1"/>
      <c r="G809" s="1"/>
      <c r="H809" s="4"/>
      <c r="I809" s="7"/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>
      <c r="A810" s="1"/>
      <c r="B810" s="1"/>
      <c r="C810" s="1"/>
      <c r="D810" s="1"/>
      <c r="E810" s="1"/>
      <c r="F810" s="1"/>
      <c r="G810" s="1"/>
      <c r="H810" s="4"/>
      <c r="I810" s="7"/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>
      <c r="A811" s="1"/>
      <c r="B811" s="1"/>
      <c r="C811" s="1"/>
      <c r="D811" s="1"/>
      <c r="E811" s="1"/>
      <c r="F811" s="1"/>
      <c r="G811" s="1"/>
      <c r="H811" s="4"/>
      <c r="I811" s="7"/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>
      <c r="A812" s="1"/>
      <c r="B812" s="1"/>
      <c r="C812" s="1"/>
      <c r="D812" s="1"/>
      <c r="E812" s="1"/>
      <c r="F812" s="1"/>
      <c r="G812" s="1"/>
      <c r="H812" s="4"/>
      <c r="I812" s="7"/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>
      <c r="A813" s="1"/>
      <c r="B813" s="1"/>
      <c r="C813" s="1"/>
      <c r="D813" s="1"/>
      <c r="E813" s="1"/>
      <c r="F813" s="1"/>
      <c r="G813" s="1"/>
      <c r="H813" s="4"/>
      <c r="I813" s="7"/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>
      <c r="A814" s="1"/>
      <c r="B814" s="1"/>
      <c r="C814" s="1"/>
      <c r="D814" s="1"/>
      <c r="E814" s="1"/>
      <c r="F814" s="1"/>
      <c r="G814" s="1"/>
      <c r="H814" s="4"/>
      <c r="I814" s="7"/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>
      <c r="A815" s="1"/>
      <c r="B815" s="1"/>
      <c r="C815" s="1"/>
      <c r="D815" s="1"/>
      <c r="E815" s="1"/>
      <c r="F815" s="1"/>
      <c r="G815" s="1"/>
      <c r="H815" s="4"/>
      <c r="I815" s="7"/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>
      <c r="A816" s="1"/>
      <c r="B816" s="1"/>
      <c r="C816" s="1"/>
      <c r="D816" s="1"/>
      <c r="E816" s="1"/>
      <c r="F816" s="1"/>
      <c r="G816" s="1"/>
      <c r="H816" s="4"/>
      <c r="I816" s="7"/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>
      <c r="A817" s="1"/>
      <c r="B817" s="1"/>
      <c r="C817" s="1"/>
      <c r="D817" s="1"/>
      <c r="E817" s="1"/>
      <c r="F817" s="1"/>
      <c r="G817" s="1"/>
      <c r="H817" s="4"/>
      <c r="I817" s="7"/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>
      <c r="A818" s="1"/>
      <c r="B818" s="1"/>
      <c r="C818" s="1"/>
      <c r="D818" s="1"/>
      <c r="E818" s="1"/>
      <c r="F818" s="1"/>
      <c r="G818" s="1"/>
      <c r="H818" s="4"/>
      <c r="I818" s="7"/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>
      <c r="A819" s="1"/>
      <c r="B819" s="1"/>
      <c r="C819" s="1"/>
      <c r="D819" s="1"/>
      <c r="E819" s="1"/>
      <c r="F819" s="1"/>
      <c r="G819" s="1"/>
      <c r="H819" s="4"/>
      <c r="I819" s="7"/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>
      <c r="A820" s="1"/>
      <c r="B820" s="1"/>
      <c r="C820" s="1"/>
      <c r="D820" s="1"/>
      <c r="E820" s="1"/>
      <c r="F820" s="1"/>
      <c r="G820" s="1"/>
      <c r="H820" s="4"/>
      <c r="I820" s="7"/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>
      <c r="A821" s="1"/>
      <c r="B821" s="1"/>
      <c r="C821" s="1"/>
      <c r="D821" s="1"/>
      <c r="E821" s="1"/>
      <c r="F821" s="1"/>
      <c r="G821" s="1"/>
      <c r="H821" s="4"/>
      <c r="I821" s="7"/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>
      <c r="A822" s="1"/>
      <c r="B822" s="1"/>
      <c r="C822" s="1"/>
      <c r="D822" s="1"/>
      <c r="E822" s="1"/>
      <c r="F822" s="1"/>
      <c r="G822" s="1"/>
      <c r="H822" s="4"/>
      <c r="I822" s="7"/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>
      <c r="A823" s="1"/>
      <c r="B823" s="1"/>
      <c r="C823" s="1"/>
      <c r="D823" s="1"/>
      <c r="E823" s="1"/>
      <c r="F823" s="1"/>
      <c r="G823" s="1"/>
      <c r="H823" s="4"/>
      <c r="I823" s="7"/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>
      <c r="A824" s="1"/>
      <c r="B824" s="1"/>
      <c r="C824" s="1"/>
      <c r="D824" s="1"/>
      <c r="E824" s="1"/>
      <c r="F824" s="1"/>
      <c r="G824" s="1"/>
      <c r="H824" s="4"/>
      <c r="I824" s="7"/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>
      <c r="A825" s="1"/>
      <c r="B825" s="1"/>
      <c r="C825" s="1"/>
      <c r="D825" s="1"/>
      <c r="E825" s="1"/>
      <c r="F825" s="1"/>
      <c r="G825" s="1"/>
      <c r="H825" s="4"/>
      <c r="I825" s="7"/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>
      <c r="A826" s="1"/>
      <c r="B826" s="1"/>
      <c r="C826" s="1"/>
      <c r="D826" s="1"/>
      <c r="E826" s="1"/>
      <c r="F826" s="1"/>
      <c r="G826" s="1"/>
      <c r="H826" s="4"/>
      <c r="I826" s="7"/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>
      <c r="A827" s="1"/>
      <c r="B827" s="1"/>
      <c r="C827" s="1"/>
      <c r="D827" s="1"/>
      <c r="E827" s="1"/>
      <c r="F827" s="1"/>
      <c r="G827" s="1"/>
      <c r="H827" s="4"/>
      <c r="I827" s="7"/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>
      <c r="A828" s="1"/>
      <c r="B828" s="1"/>
      <c r="C828" s="1"/>
      <c r="D828" s="1"/>
      <c r="E828" s="1"/>
      <c r="F828" s="1"/>
      <c r="G828" s="1"/>
      <c r="H828" s="4"/>
      <c r="I828" s="7"/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>
      <c r="A829" s="1"/>
      <c r="B829" s="1"/>
      <c r="C829" s="1"/>
      <c r="D829" s="1"/>
      <c r="E829" s="1"/>
      <c r="F829" s="1"/>
      <c r="G829" s="1"/>
      <c r="H829" s="4"/>
      <c r="I829" s="7"/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>
      <c r="A830" s="1"/>
      <c r="B830" s="1"/>
      <c r="C830" s="1"/>
      <c r="D830" s="1"/>
      <c r="E830" s="1"/>
      <c r="F830" s="1"/>
      <c r="G830" s="1"/>
      <c r="H830" s="4"/>
      <c r="I830" s="7"/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>
      <c r="A831" s="1"/>
      <c r="B831" s="1"/>
      <c r="C831" s="1"/>
      <c r="D831" s="1"/>
      <c r="E831" s="1"/>
      <c r="F831" s="1"/>
      <c r="G831" s="1"/>
      <c r="H831" s="4"/>
      <c r="I831" s="7"/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>
      <c r="A832" s="1"/>
      <c r="B832" s="1"/>
      <c r="C832" s="1"/>
      <c r="D832" s="1"/>
      <c r="E832" s="1"/>
      <c r="F832" s="1"/>
      <c r="G832" s="1"/>
      <c r="H832" s="4"/>
      <c r="I832" s="7"/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>
      <c r="A833" s="1"/>
      <c r="B833" s="1"/>
      <c r="C833" s="1"/>
      <c r="D833" s="1"/>
      <c r="E833" s="1"/>
      <c r="F833" s="1"/>
      <c r="G833" s="1"/>
      <c r="H833" s="4"/>
      <c r="I833" s="7"/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>
      <c r="A834" s="1"/>
      <c r="B834" s="1"/>
      <c r="C834" s="1"/>
      <c r="D834" s="1"/>
      <c r="E834" s="1"/>
      <c r="F834" s="1"/>
      <c r="G834" s="1"/>
      <c r="H834" s="4"/>
      <c r="I834" s="7"/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>
      <c r="A835" s="1"/>
      <c r="B835" s="1"/>
      <c r="C835" s="1"/>
      <c r="D835" s="1"/>
      <c r="E835" s="1"/>
      <c r="F835" s="1"/>
      <c r="G835" s="1"/>
      <c r="H835" s="4"/>
      <c r="I835" s="7"/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>
      <c r="A836" s="1"/>
      <c r="B836" s="1"/>
      <c r="C836" s="1"/>
      <c r="D836" s="1"/>
      <c r="E836" s="1"/>
      <c r="F836" s="1"/>
      <c r="G836" s="1"/>
      <c r="H836" s="4"/>
      <c r="I836" s="7"/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>
      <c r="A837" s="1"/>
      <c r="B837" s="1"/>
      <c r="C837" s="1"/>
      <c r="D837" s="1"/>
      <c r="E837" s="1"/>
      <c r="F837" s="1"/>
      <c r="G837" s="1"/>
      <c r="H837" s="4"/>
      <c r="I837" s="7"/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>
      <c r="A838" s="1"/>
      <c r="B838" s="1"/>
      <c r="C838" s="1"/>
      <c r="D838" s="1"/>
      <c r="E838" s="1"/>
      <c r="F838" s="1"/>
      <c r="G838" s="1"/>
      <c r="H838" s="4"/>
      <c r="I838" s="7"/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>
      <c r="A839" s="1"/>
      <c r="B839" s="1"/>
      <c r="C839" s="1"/>
      <c r="D839" s="1"/>
      <c r="E839" s="1"/>
      <c r="F839" s="1"/>
      <c r="G839" s="1"/>
      <c r="H839" s="4"/>
      <c r="I839" s="7"/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>
      <c r="A840" s="1"/>
      <c r="B840" s="1"/>
      <c r="C840" s="1"/>
      <c r="D840" s="1"/>
      <c r="E840" s="1"/>
      <c r="F840" s="1"/>
      <c r="G840" s="1"/>
      <c r="H840" s="4"/>
      <c r="I840" s="7"/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>
      <c r="A841" s="1"/>
      <c r="B841" s="1"/>
      <c r="C841" s="1"/>
      <c r="D841" s="1"/>
      <c r="E841" s="1"/>
      <c r="F841" s="1"/>
      <c r="G841" s="1"/>
      <c r="H841" s="4"/>
      <c r="I841" s="7"/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>
      <c r="A842" s="1"/>
      <c r="B842" s="1"/>
      <c r="C842" s="1"/>
      <c r="D842" s="1"/>
      <c r="E842" s="1"/>
      <c r="F842" s="1"/>
      <c r="G842" s="1"/>
      <c r="H842" s="4"/>
      <c r="I842" s="7"/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>
      <c r="A843" s="1"/>
      <c r="B843" s="1"/>
      <c r="C843" s="1"/>
      <c r="D843" s="1"/>
      <c r="E843" s="1"/>
      <c r="F843" s="1"/>
      <c r="G843" s="1"/>
      <c r="H843" s="4"/>
      <c r="I843" s="7"/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>
      <c r="A844" s="1"/>
      <c r="B844" s="1"/>
      <c r="C844" s="1"/>
      <c r="D844" s="1"/>
      <c r="E844" s="1"/>
      <c r="F844" s="1"/>
      <c r="G844" s="1"/>
      <c r="H844" s="4"/>
      <c r="I844" s="7"/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>
      <c r="A845" s="1"/>
      <c r="B845" s="1"/>
      <c r="C845" s="1"/>
      <c r="D845" s="1"/>
      <c r="E845" s="1"/>
      <c r="F845" s="1"/>
      <c r="G845" s="1"/>
      <c r="H845" s="4"/>
      <c r="I845" s="7"/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>
      <c r="A846" s="1"/>
      <c r="B846" s="1"/>
      <c r="C846" s="1"/>
      <c r="D846" s="1"/>
      <c r="E846" s="1"/>
      <c r="F846" s="1"/>
      <c r="G846" s="1"/>
      <c r="H846" s="4"/>
      <c r="I846" s="7"/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>
      <c r="A847" s="1"/>
      <c r="B847" s="1"/>
      <c r="C847" s="1"/>
      <c r="D847" s="1"/>
      <c r="E847" s="1"/>
      <c r="F847" s="1"/>
      <c r="G847" s="1"/>
      <c r="H847" s="4"/>
      <c r="I847" s="7"/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>
      <c r="A848" s="1"/>
      <c r="B848" s="1"/>
      <c r="C848" s="1"/>
      <c r="D848" s="1"/>
      <c r="E848" s="1"/>
      <c r="F848" s="1"/>
      <c r="G848" s="1"/>
      <c r="H848" s="4"/>
      <c r="I848" s="7"/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>
      <c r="A849" s="1"/>
      <c r="B849" s="1"/>
      <c r="C849" s="1"/>
      <c r="D849" s="1"/>
      <c r="E849" s="1"/>
      <c r="F849" s="1"/>
      <c r="G849" s="1"/>
      <c r="H849" s="4"/>
      <c r="I849" s="7"/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>
      <c r="A850" s="1"/>
      <c r="B850" s="1"/>
      <c r="C850" s="1"/>
      <c r="D850" s="1"/>
      <c r="E850" s="1"/>
      <c r="F850" s="1"/>
      <c r="G850" s="1"/>
      <c r="H850" s="4"/>
      <c r="I850" s="7"/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>
      <c r="A851" s="1"/>
      <c r="B851" s="1"/>
      <c r="C851" s="1"/>
      <c r="D851" s="1"/>
      <c r="E851" s="1"/>
      <c r="F851" s="1"/>
      <c r="G851" s="1"/>
      <c r="H851" s="4"/>
      <c r="I851" s="7"/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>
      <c r="A852" s="1"/>
      <c r="B852" s="1"/>
      <c r="C852" s="1"/>
      <c r="D852" s="1"/>
      <c r="E852" s="1"/>
      <c r="F852" s="1"/>
      <c r="G852" s="1"/>
      <c r="H852" s="4"/>
      <c r="I852" s="7"/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>
      <c r="A853" s="1"/>
      <c r="B853" s="1"/>
      <c r="C853" s="1"/>
      <c r="D853" s="1"/>
      <c r="E853" s="1"/>
      <c r="F853" s="1"/>
      <c r="G853" s="1"/>
      <c r="H853" s="4"/>
      <c r="I853" s="7"/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>
      <c r="A854" s="1"/>
      <c r="B854" s="1"/>
      <c r="C854" s="1"/>
      <c r="D854" s="1"/>
      <c r="E854" s="1"/>
      <c r="F854" s="1"/>
      <c r="G854" s="1"/>
      <c r="H854" s="4"/>
      <c r="I854" s="7"/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>
      <c r="A855" s="1"/>
      <c r="B855" s="1"/>
      <c r="C855" s="1"/>
      <c r="D855" s="1"/>
      <c r="E855" s="1"/>
      <c r="F855" s="1"/>
      <c r="G855" s="1"/>
      <c r="H855" s="4"/>
      <c r="I855" s="7"/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>
      <c r="A856" s="1"/>
      <c r="B856" s="1"/>
      <c r="C856" s="1"/>
      <c r="D856" s="1"/>
      <c r="E856" s="1"/>
      <c r="F856" s="1"/>
      <c r="G856" s="1"/>
      <c r="H856" s="4"/>
      <c r="I856" s="7"/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>
      <c r="A857" s="1"/>
      <c r="B857" s="1"/>
      <c r="C857" s="1"/>
      <c r="D857" s="1"/>
      <c r="E857" s="1"/>
      <c r="F857" s="1"/>
      <c r="G857" s="1"/>
      <c r="H857" s="4"/>
      <c r="I857" s="7"/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>
      <c r="A858" s="1"/>
      <c r="B858" s="1"/>
      <c r="C858" s="1"/>
      <c r="D858" s="1"/>
      <c r="E858" s="1"/>
      <c r="F858" s="1"/>
      <c r="G858" s="1"/>
      <c r="H858" s="4"/>
      <c r="I858" s="7"/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>
      <c r="A859" s="1"/>
      <c r="B859" s="1"/>
      <c r="C859" s="1"/>
      <c r="D859" s="1"/>
      <c r="E859" s="1"/>
      <c r="F859" s="1"/>
      <c r="G859" s="1"/>
      <c r="H859" s="4"/>
      <c r="I859" s="7"/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>
      <c r="A860" s="1"/>
      <c r="B860" s="1"/>
      <c r="C860" s="1"/>
      <c r="D860" s="1"/>
      <c r="E860" s="1"/>
      <c r="F860" s="1"/>
      <c r="G860" s="1"/>
      <c r="H860" s="4"/>
      <c r="I860" s="7"/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>
      <c r="A861" s="1"/>
      <c r="B861" s="1"/>
      <c r="C861" s="1"/>
      <c r="D861" s="1"/>
      <c r="E861" s="1"/>
      <c r="F861" s="1"/>
      <c r="G861" s="1"/>
      <c r="H861" s="4"/>
      <c r="I861" s="7"/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>
      <c r="A862" s="1"/>
      <c r="B862" s="1"/>
      <c r="C862" s="1"/>
      <c r="D862" s="1"/>
      <c r="E862" s="1"/>
      <c r="F862" s="1"/>
      <c r="G862" s="1"/>
      <c r="H862" s="4"/>
      <c r="I862" s="7"/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>
      <c r="A863" s="1"/>
      <c r="B863" s="1"/>
      <c r="C863" s="1"/>
      <c r="D863" s="1"/>
      <c r="E863" s="1"/>
      <c r="F863" s="1"/>
      <c r="G863" s="1"/>
      <c r="H863" s="4"/>
      <c r="I863" s="7"/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>
      <c r="A864" s="1"/>
      <c r="B864" s="1"/>
      <c r="C864" s="1"/>
      <c r="D864" s="1"/>
      <c r="E864" s="1"/>
      <c r="F864" s="1"/>
      <c r="G864" s="1"/>
      <c r="H864" s="4"/>
      <c r="I864" s="7"/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>
      <c r="A865" s="1"/>
      <c r="B865" s="1"/>
      <c r="C865" s="1"/>
      <c r="D865" s="1"/>
      <c r="E865" s="1"/>
      <c r="F865" s="1"/>
      <c r="G865" s="1"/>
      <c r="H865" s="4"/>
      <c r="I865" s="7"/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>
      <c r="A866" s="1"/>
      <c r="B866" s="1"/>
      <c r="C866" s="1"/>
      <c r="D866" s="1"/>
      <c r="E866" s="1"/>
      <c r="F866" s="1"/>
      <c r="G866" s="1"/>
      <c r="H866" s="4"/>
      <c r="I866" s="7"/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>
      <c r="A867" s="1"/>
      <c r="B867" s="1"/>
      <c r="C867" s="1"/>
      <c r="D867" s="1"/>
      <c r="E867" s="1"/>
      <c r="F867" s="1"/>
      <c r="G867" s="1"/>
      <c r="H867" s="4"/>
      <c r="I867" s="7"/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>
      <c r="A868" s="1"/>
      <c r="B868" s="1"/>
      <c r="C868" s="1"/>
      <c r="D868" s="1"/>
      <c r="E868" s="1"/>
      <c r="F868" s="1"/>
      <c r="G868" s="1"/>
      <c r="H868" s="4"/>
      <c r="I868" s="7"/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>
      <c r="A869" s="1"/>
      <c r="B869" s="1"/>
      <c r="C869" s="1"/>
      <c r="D869" s="1"/>
      <c r="E869" s="1"/>
      <c r="F869" s="1"/>
      <c r="G869" s="1"/>
      <c r="H869" s="4"/>
      <c r="I869" s="7"/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>
      <c r="A870" s="1"/>
      <c r="B870" s="1"/>
      <c r="C870" s="1"/>
      <c r="D870" s="1"/>
      <c r="E870" s="1"/>
      <c r="F870" s="1"/>
      <c r="G870" s="1"/>
      <c r="H870" s="4"/>
      <c r="I870" s="7"/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>
      <c r="A871" s="1"/>
      <c r="B871" s="1"/>
      <c r="C871" s="1"/>
      <c r="D871" s="1"/>
      <c r="E871" s="1"/>
      <c r="F871" s="1"/>
      <c r="G871" s="1"/>
      <c r="H871" s="4"/>
      <c r="I871" s="7"/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>
      <c r="A872" s="1"/>
      <c r="B872" s="1"/>
      <c r="C872" s="1"/>
      <c r="D872" s="1"/>
      <c r="E872" s="1"/>
      <c r="F872" s="1"/>
      <c r="G872" s="1"/>
      <c r="H872" s="4"/>
      <c r="I872" s="7"/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>
      <c r="A873" s="1"/>
      <c r="B873" s="1"/>
      <c r="C873" s="1"/>
      <c r="D873" s="1"/>
      <c r="E873" s="1"/>
      <c r="F873" s="1"/>
      <c r="G873" s="1"/>
      <c r="H873" s="4"/>
      <c r="I873" s="7"/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>
      <c r="A874" s="1"/>
      <c r="B874" s="1"/>
      <c r="C874" s="1"/>
      <c r="D874" s="1"/>
      <c r="E874" s="1"/>
      <c r="F874" s="1"/>
      <c r="G874" s="1"/>
      <c r="H874" s="4"/>
      <c r="I874" s="7"/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>
      <c r="A875" s="1"/>
      <c r="B875" s="1"/>
      <c r="C875" s="1"/>
      <c r="D875" s="1"/>
      <c r="E875" s="1"/>
      <c r="F875" s="1"/>
      <c r="G875" s="1"/>
      <c r="H875" s="4"/>
      <c r="I875" s="7"/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>
      <c r="A876" s="1"/>
      <c r="B876" s="1"/>
      <c r="C876" s="1"/>
      <c r="D876" s="1"/>
      <c r="E876" s="1"/>
      <c r="F876" s="1"/>
      <c r="G876" s="1"/>
      <c r="H876" s="4"/>
      <c r="I876" s="7"/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>
      <c r="A877" s="1"/>
      <c r="B877" s="1"/>
      <c r="C877" s="1"/>
      <c r="D877" s="1"/>
      <c r="E877" s="1"/>
      <c r="F877" s="1"/>
      <c r="G877" s="1"/>
      <c r="H877" s="4"/>
      <c r="I877" s="7"/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>
      <c r="A878" s="1"/>
      <c r="B878" s="1"/>
      <c r="C878" s="1"/>
      <c r="D878" s="1"/>
      <c r="E878" s="1"/>
      <c r="F878" s="1"/>
      <c r="G878" s="1"/>
      <c r="H878" s="4"/>
      <c r="I878" s="7"/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>
      <c r="A879" s="1"/>
      <c r="B879" s="1"/>
      <c r="C879" s="1"/>
      <c r="D879" s="1"/>
      <c r="E879" s="1"/>
      <c r="F879" s="1"/>
      <c r="G879" s="1"/>
      <c r="H879" s="4"/>
      <c r="I879" s="7"/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>
      <c r="A880" s="1"/>
      <c r="B880" s="1"/>
      <c r="C880" s="1"/>
      <c r="D880" s="1"/>
      <c r="E880" s="1"/>
      <c r="F880" s="1"/>
      <c r="G880" s="1"/>
      <c r="H880" s="4"/>
      <c r="I880" s="7"/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>
      <c r="A881" s="1"/>
      <c r="B881" s="1"/>
      <c r="C881" s="1"/>
      <c r="D881" s="1"/>
      <c r="E881" s="1"/>
      <c r="F881" s="1"/>
      <c r="G881" s="1"/>
      <c r="H881" s="4"/>
      <c r="I881" s="7"/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>
      <c r="A882" s="1"/>
      <c r="B882" s="1"/>
      <c r="C882" s="1"/>
      <c r="D882" s="1"/>
      <c r="E882" s="1"/>
      <c r="F882" s="1"/>
      <c r="G882" s="1"/>
      <c r="H882" s="4"/>
      <c r="I882" s="7"/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>
      <c r="A883" s="1"/>
      <c r="B883" s="1"/>
      <c r="C883" s="1"/>
      <c r="D883" s="1"/>
      <c r="E883" s="1"/>
      <c r="F883" s="1"/>
      <c r="G883" s="1"/>
      <c r="H883" s="4"/>
      <c r="I883" s="7"/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>
      <c r="A884" s="1"/>
      <c r="B884" s="1"/>
      <c r="C884" s="1"/>
      <c r="D884" s="1"/>
      <c r="E884" s="1"/>
      <c r="F884" s="1"/>
      <c r="G884" s="1"/>
      <c r="H884" s="4"/>
      <c r="I884" s="7"/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>
      <c r="A885" s="1"/>
      <c r="B885" s="1"/>
      <c r="C885" s="1"/>
      <c r="D885" s="1"/>
      <c r="E885" s="1"/>
      <c r="F885" s="1"/>
      <c r="G885" s="1"/>
      <c r="H885" s="4"/>
      <c r="I885" s="7"/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>
      <c r="A886" s="1"/>
      <c r="B886" s="1"/>
      <c r="C886" s="1"/>
      <c r="D886" s="1"/>
      <c r="E886" s="1"/>
      <c r="F886" s="1"/>
      <c r="G886" s="1"/>
      <c r="H886" s="4"/>
      <c r="I886" s="7"/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>
      <c r="A887" s="1"/>
      <c r="B887" s="1"/>
      <c r="C887" s="1"/>
      <c r="D887" s="1"/>
      <c r="E887" s="1"/>
      <c r="F887" s="1"/>
      <c r="G887" s="1"/>
      <c r="H887" s="4"/>
      <c r="I887" s="7"/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>
      <c r="A888" s="1"/>
      <c r="B888" s="1"/>
      <c r="C888" s="1"/>
      <c r="D888" s="1"/>
      <c r="E888" s="1"/>
      <c r="F888" s="1"/>
      <c r="G888" s="1"/>
      <c r="H888" s="4"/>
      <c r="I888" s="7"/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>
      <c r="A889" s="1"/>
      <c r="B889" s="1"/>
      <c r="C889" s="1"/>
      <c r="D889" s="1"/>
      <c r="E889" s="1"/>
      <c r="F889" s="1"/>
      <c r="G889" s="1"/>
      <c r="H889" s="4"/>
      <c r="I889" s="7"/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>
      <c r="A890" s="1"/>
      <c r="B890" s="1"/>
      <c r="C890" s="1"/>
      <c r="D890" s="1"/>
      <c r="E890" s="1"/>
      <c r="F890" s="1"/>
      <c r="G890" s="1"/>
      <c r="H890" s="4"/>
      <c r="I890" s="7"/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>
      <c r="A891" s="1"/>
      <c r="B891" s="1"/>
      <c r="C891" s="1"/>
      <c r="D891" s="1"/>
      <c r="E891" s="1"/>
      <c r="F891" s="1"/>
      <c r="G891" s="1"/>
      <c r="H891" s="4"/>
      <c r="I891" s="7"/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>
      <c r="A892" s="1"/>
      <c r="B892" s="1"/>
      <c r="C892" s="1"/>
      <c r="D892" s="1"/>
      <c r="E892" s="1"/>
      <c r="F892" s="1"/>
      <c r="G892" s="1"/>
      <c r="H892" s="4"/>
      <c r="I892" s="7"/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>
      <c r="A893" s="1"/>
      <c r="B893" s="1"/>
      <c r="C893" s="1"/>
      <c r="D893" s="1"/>
      <c r="E893" s="1"/>
      <c r="F893" s="1"/>
      <c r="G893" s="1"/>
      <c r="H893" s="4"/>
      <c r="I893" s="7"/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>
      <c r="A894" s="1"/>
      <c r="B894" s="1"/>
      <c r="C894" s="1"/>
      <c r="D894" s="1"/>
      <c r="E894" s="1"/>
      <c r="F894" s="1"/>
      <c r="G894" s="1"/>
      <c r="H894" s="4"/>
      <c r="I894" s="7"/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>
      <c r="A895" s="1"/>
      <c r="B895" s="1"/>
      <c r="C895" s="1"/>
      <c r="D895" s="1"/>
      <c r="E895" s="1"/>
      <c r="F895" s="1"/>
      <c r="G895" s="1"/>
      <c r="H895" s="4"/>
      <c r="I895" s="7"/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>
      <c r="A896" s="1"/>
      <c r="B896" s="1"/>
      <c r="C896" s="1"/>
      <c r="D896" s="1"/>
      <c r="E896" s="1"/>
      <c r="F896" s="1"/>
      <c r="G896" s="1"/>
      <c r="H896" s="4"/>
      <c r="I896" s="7"/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>
      <c r="A897" s="1"/>
      <c r="B897" s="1"/>
      <c r="C897" s="1"/>
      <c r="D897" s="1"/>
      <c r="E897" s="1"/>
      <c r="F897" s="1"/>
      <c r="G897" s="1"/>
      <c r="H897" s="4"/>
      <c r="I897" s="7"/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>
      <c r="A898" s="1"/>
      <c r="B898" s="1"/>
      <c r="C898" s="1"/>
      <c r="D898" s="1"/>
      <c r="E898" s="1"/>
      <c r="F898" s="1"/>
      <c r="G898" s="1"/>
      <c r="H898" s="4"/>
      <c r="I898" s="7"/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>
      <c r="A899" s="1"/>
      <c r="B899" s="1"/>
      <c r="C899" s="1"/>
      <c r="D899" s="1"/>
      <c r="E899" s="1"/>
      <c r="F899" s="1"/>
      <c r="G899" s="1"/>
      <c r="H899" s="4"/>
      <c r="I899" s="7"/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>
      <c r="A900" s="1"/>
      <c r="B900" s="1"/>
      <c r="C900" s="1"/>
      <c r="D900" s="1"/>
      <c r="E900" s="1"/>
      <c r="F900" s="1"/>
      <c r="G900" s="1"/>
      <c r="H900" s="4"/>
      <c r="I900" s="7"/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>
      <c r="A901" s="1"/>
      <c r="B901" s="1"/>
      <c r="C901" s="1"/>
      <c r="D901" s="1"/>
      <c r="E901" s="1"/>
      <c r="F901" s="1"/>
      <c r="G901" s="1"/>
      <c r="H901" s="4"/>
      <c r="I901" s="7"/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>
      <c r="A902" s="1"/>
      <c r="B902" s="1"/>
      <c r="C902" s="1"/>
      <c r="D902" s="1"/>
      <c r="E902" s="1"/>
      <c r="F902" s="1"/>
      <c r="G902" s="1"/>
      <c r="H902" s="4"/>
      <c r="I902" s="7"/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>
      <c r="A903" s="1"/>
      <c r="B903" s="1"/>
      <c r="C903" s="1"/>
      <c r="D903" s="1"/>
      <c r="E903" s="1"/>
      <c r="F903" s="1"/>
      <c r="G903" s="1"/>
      <c r="H903" s="4"/>
      <c r="I903" s="7"/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>
      <c r="A904" s="1"/>
      <c r="B904" s="1"/>
      <c r="C904" s="1"/>
      <c r="D904" s="1"/>
      <c r="E904" s="1"/>
      <c r="F904" s="1"/>
      <c r="G904" s="1"/>
      <c r="H904" s="4"/>
      <c r="I904" s="7"/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>
      <c r="A905" s="1"/>
      <c r="B905" s="1"/>
      <c r="C905" s="1"/>
      <c r="D905" s="1"/>
      <c r="E905" s="1"/>
      <c r="F905" s="1"/>
      <c r="G905" s="1"/>
      <c r="H905" s="4"/>
      <c r="I905" s="7"/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>
      <c r="A906" s="1"/>
      <c r="B906" s="1"/>
      <c r="C906" s="1"/>
      <c r="D906" s="1"/>
      <c r="E906" s="1"/>
      <c r="F906" s="1"/>
      <c r="G906" s="1"/>
      <c r="H906" s="4"/>
      <c r="I906" s="7"/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>
      <c r="A907" s="1"/>
      <c r="B907" s="1"/>
      <c r="C907" s="1"/>
      <c r="D907" s="1"/>
      <c r="E907" s="1"/>
      <c r="F907" s="1"/>
      <c r="G907" s="1"/>
      <c r="H907" s="4"/>
      <c r="I907" s="7"/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>
      <c r="A908" s="1"/>
      <c r="B908" s="1"/>
      <c r="C908" s="1"/>
      <c r="D908" s="1"/>
      <c r="E908" s="1"/>
      <c r="F908" s="1"/>
      <c r="G908" s="1"/>
      <c r="H908" s="4"/>
      <c r="I908" s="7"/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>
      <c r="A909" s="1"/>
      <c r="B909" s="1"/>
      <c r="C909" s="1"/>
      <c r="D909" s="1"/>
      <c r="E909" s="1"/>
      <c r="F909" s="1"/>
      <c r="G909" s="1"/>
      <c r="H909" s="4"/>
      <c r="I909" s="7"/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>
      <c r="A910" s="1"/>
      <c r="B910" s="1"/>
      <c r="C910" s="1"/>
      <c r="D910" s="1"/>
      <c r="E910" s="1"/>
      <c r="F910" s="1"/>
      <c r="G910" s="1"/>
      <c r="H910" s="4"/>
      <c r="I910" s="7"/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>
      <c r="A911" s="1"/>
      <c r="B911" s="1"/>
      <c r="C911" s="1"/>
      <c r="D911" s="1"/>
      <c r="E911" s="1"/>
      <c r="F911" s="1"/>
      <c r="G911" s="1"/>
      <c r="H911" s="4"/>
      <c r="I911" s="7"/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>
      <c r="A912" s="1"/>
      <c r="B912" s="1"/>
      <c r="C912" s="1"/>
      <c r="D912" s="1"/>
      <c r="E912" s="1"/>
      <c r="F912" s="1"/>
      <c r="G912" s="1"/>
      <c r="H912" s="4"/>
      <c r="I912" s="7"/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>
      <c r="A913" s="1"/>
      <c r="B913" s="1"/>
      <c r="C913" s="1"/>
      <c r="D913" s="1"/>
      <c r="E913" s="1"/>
      <c r="F913" s="1"/>
      <c r="G913" s="1"/>
      <c r="H913" s="4"/>
      <c r="I913" s="7"/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>
      <c r="A914" s="1"/>
      <c r="B914" s="1"/>
      <c r="C914" s="1"/>
      <c r="D914" s="1"/>
      <c r="E914" s="1"/>
      <c r="F914" s="1"/>
      <c r="G914" s="1"/>
      <c r="H914" s="4"/>
      <c r="I914" s="7"/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>
      <c r="A915" s="1"/>
      <c r="B915" s="1"/>
      <c r="C915" s="1"/>
      <c r="D915" s="1"/>
      <c r="E915" s="1"/>
      <c r="F915" s="1"/>
      <c r="G915" s="1"/>
      <c r="H915" s="4"/>
      <c r="I915" s="7"/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>
      <c r="A916" s="1"/>
      <c r="B916" s="1"/>
      <c r="C916" s="1"/>
      <c r="D916" s="1"/>
      <c r="E916" s="1"/>
      <c r="F916" s="1"/>
      <c r="G916" s="1"/>
      <c r="H916" s="4"/>
      <c r="I916" s="7"/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>
      <c r="A917" s="1"/>
      <c r="B917" s="1"/>
      <c r="C917" s="1"/>
      <c r="D917" s="1"/>
      <c r="E917" s="1"/>
      <c r="F917" s="1"/>
      <c r="G917" s="1"/>
      <c r="H917" s="4"/>
      <c r="I917" s="7"/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>
      <c r="A918" s="1"/>
      <c r="B918" s="1"/>
      <c r="C918" s="1"/>
      <c r="D918" s="1"/>
      <c r="E918" s="1"/>
      <c r="F918" s="1"/>
      <c r="G918" s="1"/>
      <c r="H918" s="4"/>
      <c r="I918" s="7"/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>
      <c r="A919" s="1"/>
      <c r="B919" s="1"/>
      <c r="C919" s="1"/>
      <c r="D919" s="1"/>
      <c r="E919" s="1"/>
      <c r="F919" s="1"/>
      <c r="G919" s="1"/>
      <c r="H919" s="4"/>
      <c r="I919" s="7"/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>
      <c r="A920" s="1"/>
      <c r="B920" s="1"/>
      <c r="C920" s="1"/>
      <c r="D920" s="1"/>
      <c r="E920" s="1"/>
      <c r="F920" s="1"/>
      <c r="G920" s="1"/>
      <c r="H920" s="4"/>
      <c r="I920" s="7"/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>
      <c r="A921" s="1"/>
      <c r="B921" s="1"/>
      <c r="C921" s="1"/>
      <c r="D921" s="1"/>
      <c r="E921" s="1"/>
      <c r="F921" s="1"/>
      <c r="G921" s="1"/>
      <c r="H921" s="4"/>
      <c r="I921" s="7"/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>
      <c r="A922" s="1"/>
      <c r="B922" s="1"/>
      <c r="C922" s="1"/>
      <c r="D922" s="1"/>
      <c r="E922" s="1"/>
      <c r="F922" s="1"/>
      <c r="G922" s="1"/>
      <c r="H922" s="4"/>
      <c r="I922" s="7"/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>
      <c r="A923" s="1"/>
      <c r="B923" s="1"/>
      <c r="C923" s="1"/>
      <c r="D923" s="1"/>
      <c r="E923" s="1"/>
      <c r="F923" s="1"/>
      <c r="G923" s="1"/>
      <c r="H923" s="4"/>
      <c r="I923" s="7"/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>
      <c r="A924" s="1"/>
      <c r="B924" s="1"/>
      <c r="C924" s="1"/>
      <c r="D924" s="1"/>
      <c r="E924" s="1"/>
      <c r="F924" s="1"/>
      <c r="G924" s="1"/>
      <c r="H924" s="4"/>
      <c r="I924" s="7"/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>
      <c r="A925" s="1"/>
      <c r="B925" s="1"/>
      <c r="C925" s="1"/>
      <c r="D925" s="1"/>
      <c r="E925" s="1"/>
      <c r="F925" s="1"/>
      <c r="G925" s="1"/>
      <c r="H925" s="4"/>
      <c r="I925" s="7"/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>
      <c r="A926" s="1"/>
      <c r="B926" s="1"/>
      <c r="C926" s="1"/>
      <c r="D926" s="1"/>
      <c r="E926" s="1"/>
      <c r="F926" s="1"/>
      <c r="G926" s="1"/>
      <c r="H926" s="4"/>
      <c r="I926" s="7"/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>
      <c r="A927" s="1"/>
      <c r="B927" s="1"/>
      <c r="C927" s="1"/>
      <c r="D927" s="1"/>
      <c r="E927" s="1"/>
      <c r="F927" s="1"/>
      <c r="G927" s="1"/>
      <c r="H927" s="4"/>
      <c r="I927" s="7"/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>
      <c r="A928" s="1"/>
      <c r="B928" s="1"/>
      <c r="C928" s="1"/>
      <c r="D928" s="1"/>
      <c r="E928" s="1"/>
      <c r="F928" s="1"/>
      <c r="G928" s="1"/>
      <c r="H928" s="4"/>
      <c r="I928" s="7"/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>
      <c r="A929" s="1"/>
      <c r="B929" s="1"/>
      <c r="C929" s="1"/>
      <c r="D929" s="1"/>
      <c r="E929" s="1"/>
      <c r="F929" s="1"/>
      <c r="G929" s="1"/>
      <c r="H929" s="4"/>
      <c r="I929" s="7"/>
      <c r="J929" s="7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>
      <c r="A930" s="1"/>
      <c r="B930" s="1"/>
      <c r="C930" s="1"/>
      <c r="D930" s="1"/>
      <c r="E930" s="1"/>
      <c r="F930" s="1"/>
      <c r="G930" s="1"/>
      <c r="H930" s="4"/>
      <c r="I930" s="7"/>
      <c r="J930" s="7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>
      <c r="A931" s="1"/>
      <c r="B931" s="1"/>
      <c r="C931" s="1"/>
      <c r="D931" s="1"/>
      <c r="E931" s="1"/>
      <c r="F931" s="1"/>
      <c r="G931" s="1"/>
      <c r="H931" s="4"/>
      <c r="I931" s="7"/>
      <c r="J931" s="7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>
      <c r="A932" s="1"/>
      <c r="B932" s="1"/>
      <c r="C932" s="1"/>
      <c r="D932" s="1"/>
      <c r="E932" s="1"/>
      <c r="F932" s="1"/>
      <c r="G932" s="1"/>
      <c r="H932" s="4"/>
      <c r="I932" s="7"/>
      <c r="J932" s="7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>
      <c r="A933" s="1"/>
      <c r="B933" s="1"/>
      <c r="C933" s="1"/>
      <c r="D933" s="1"/>
      <c r="E933" s="1"/>
      <c r="F933" s="1"/>
      <c r="G933" s="1"/>
      <c r="H933" s="4"/>
      <c r="I933" s="7"/>
      <c r="J933" s="7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>
      <c r="A934" s="1"/>
      <c r="B934" s="1"/>
      <c r="C934" s="1"/>
      <c r="D934" s="1"/>
      <c r="E934" s="1"/>
      <c r="F934" s="1"/>
      <c r="G934" s="1"/>
      <c r="H934" s="4"/>
      <c r="I934" s="7"/>
      <c r="J934" s="7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>
      <c r="A935" s="1"/>
      <c r="B935" s="1"/>
      <c r="C935" s="1"/>
      <c r="D935" s="1"/>
      <c r="E935" s="1"/>
      <c r="F935" s="1"/>
      <c r="G935" s="1"/>
      <c r="H935" s="4"/>
      <c r="I935" s="7"/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>
      <c r="A936" s="1"/>
      <c r="B936" s="1"/>
      <c r="C936" s="1"/>
      <c r="D936" s="1"/>
      <c r="E936" s="1"/>
      <c r="F936" s="1"/>
      <c r="G936" s="1"/>
      <c r="H936" s="4"/>
      <c r="I936" s="7"/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>
      <c r="A937" s="1"/>
      <c r="B937" s="1"/>
      <c r="C937" s="1"/>
      <c r="D937" s="1"/>
      <c r="E937" s="1"/>
      <c r="F937" s="1"/>
      <c r="G937" s="1"/>
      <c r="H937" s="4"/>
      <c r="I937" s="7"/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>
      <c r="A938" s="1"/>
      <c r="B938" s="1"/>
      <c r="C938" s="1"/>
      <c r="D938" s="1"/>
      <c r="E938" s="1"/>
      <c r="F938" s="1"/>
      <c r="G938" s="1"/>
      <c r="H938" s="4"/>
      <c r="I938" s="7"/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>
      <c r="A939" s="1"/>
      <c r="B939" s="1"/>
      <c r="C939" s="1"/>
      <c r="D939" s="1"/>
      <c r="E939" s="1"/>
      <c r="F939" s="1"/>
      <c r="G939" s="1"/>
      <c r="H939" s="4"/>
      <c r="I939" s="7"/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>
      <c r="A940" s="1"/>
      <c r="B940" s="1"/>
      <c r="C940" s="1"/>
      <c r="D940" s="1"/>
      <c r="E940" s="1"/>
      <c r="F940" s="1"/>
      <c r="G940" s="1"/>
      <c r="H940" s="4"/>
      <c r="I940" s="7"/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>
      <c r="A941" s="1"/>
      <c r="B941" s="1"/>
      <c r="C941" s="1"/>
      <c r="D941" s="1"/>
      <c r="E941" s="1"/>
      <c r="F941" s="1"/>
      <c r="G941" s="1"/>
      <c r="H941" s="4"/>
      <c r="I941" s="7"/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>
      <c r="A942" s="1"/>
      <c r="B942" s="1"/>
      <c r="C942" s="1"/>
      <c r="D942" s="1"/>
      <c r="E942" s="1"/>
      <c r="F942" s="1"/>
      <c r="G942" s="1"/>
      <c r="H942" s="4"/>
      <c r="I942" s="7"/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>
      <c r="A943" s="1"/>
      <c r="B943" s="1"/>
      <c r="C943" s="1"/>
      <c r="D943" s="1"/>
      <c r="E943" s="1"/>
      <c r="F943" s="1"/>
      <c r="G943" s="1"/>
      <c r="H943" s="4"/>
      <c r="I943" s="7"/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>
      <c r="A944" s="1"/>
      <c r="B944" s="1"/>
      <c r="C944" s="1"/>
      <c r="D944" s="1"/>
      <c r="E944" s="1"/>
      <c r="F944" s="1"/>
      <c r="G944" s="1"/>
      <c r="H944" s="4"/>
      <c r="I944" s="7"/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>
      <c r="A945" s="1"/>
      <c r="B945" s="1"/>
      <c r="C945" s="1"/>
      <c r="D945" s="1"/>
      <c r="E945" s="1"/>
      <c r="F945" s="1"/>
      <c r="G945" s="1"/>
      <c r="H945" s="4"/>
      <c r="I945" s="7"/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>
      <c r="A946" s="1"/>
      <c r="B946" s="1"/>
      <c r="C946" s="1"/>
      <c r="D946" s="1"/>
      <c r="E946" s="1"/>
      <c r="F946" s="1"/>
      <c r="G946" s="1"/>
      <c r="H946" s="4"/>
      <c r="I946" s="7"/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>
      <c r="A947" s="1"/>
      <c r="B947" s="1"/>
      <c r="C947" s="1"/>
      <c r="D947" s="1"/>
      <c r="E947" s="1"/>
      <c r="F947" s="1"/>
      <c r="G947" s="1"/>
      <c r="H947" s="4"/>
      <c r="I947" s="7"/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>
      <c r="A948" s="1"/>
      <c r="B948" s="1"/>
      <c r="C948" s="1"/>
      <c r="D948" s="1"/>
      <c r="E948" s="1"/>
      <c r="F948" s="1"/>
      <c r="G948" s="1"/>
      <c r="H948" s="4"/>
      <c r="I948" s="7"/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>
      <c r="A949" s="1"/>
      <c r="B949" s="1"/>
      <c r="C949" s="1"/>
      <c r="D949" s="1"/>
      <c r="E949" s="1"/>
      <c r="F949" s="1"/>
      <c r="G949" s="1"/>
      <c r="H949" s="4"/>
      <c r="I949" s="7"/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>
      <c r="A950" s="1"/>
      <c r="B950" s="1"/>
      <c r="C950" s="1"/>
      <c r="D950" s="1"/>
      <c r="E950" s="1"/>
      <c r="F950" s="1"/>
      <c r="G950" s="1"/>
      <c r="H950" s="4"/>
      <c r="I950" s="7"/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>
      <c r="A951" s="1"/>
      <c r="B951" s="1"/>
      <c r="C951" s="1"/>
      <c r="D951" s="1"/>
      <c r="E951" s="1"/>
      <c r="F951" s="1"/>
      <c r="G951" s="1"/>
      <c r="H951" s="4"/>
      <c r="I951" s="7"/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>
      <c r="A952" s="1"/>
      <c r="B952" s="1"/>
      <c r="C952" s="1"/>
      <c r="D952" s="1"/>
      <c r="E952" s="1"/>
      <c r="F952" s="1"/>
      <c r="G952" s="1"/>
      <c r="H952" s="4"/>
      <c r="I952" s="7"/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>
      <c r="A953" s="1"/>
      <c r="B953" s="1"/>
      <c r="C953" s="1"/>
      <c r="D953" s="1"/>
      <c r="E953" s="1"/>
      <c r="F953" s="1"/>
      <c r="G953" s="1"/>
      <c r="H953" s="4"/>
      <c r="I953" s="7"/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>
      <c r="A954" s="1"/>
      <c r="B954" s="1"/>
      <c r="C954" s="1"/>
      <c r="D954" s="1"/>
      <c r="E954" s="1"/>
      <c r="F954" s="1"/>
      <c r="G954" s="1"/>
      <c r="H954" s="4"/>
      <c r="I954" s="7"/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>
      <c r="A955" s="1"/>
      <c r="B955" s="1"/>
      <c r="C955" s="1"/>
      <c r="D955" s="1"/>
      <c r="E955" s="1"/>
      <c r="F955" s="1"/>
      <c r="G955" s="1"/>
      <c r="H955" s="4"/>
      <c r="I955" s="7"/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>
      <c r="A956" s="1"/>
      <c r="B956" s="1"/>
      <c r="C956" s="1"/>
      <c r="D956" s="1"/>
      <c r="E956" s="1"/>
      <c r="F956" s="1"/>
      <c r="G956" s="1"/>
      <c r="H956" s="4"/>
      <c r="I956" s="7"/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>
      <c r="A957" s="1"/>
      <c r="B957" s="1"/>
      <c r="C957" s="1"/>
      <c r="D957" s="1"/>
      <c r="E957" s="1"/>
      <c r="F957" s="1"/>
      <c r="G957" s="1"/>
      <c r="H957" s="4"/>
      <c r="I957" s="7"/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>
      <c r="A958" s="1"/>
      <c r="B958" s="1"/>
      <c r="C958" s="1"/>
      <c r="D958" s="1"/>
      <c r="E958" s="1"/>
      <c r="F958" s="1"/>
      <c r="G958" s="1"/>
      <c r="H958" s="4"/>
      <c r="I958" s="7"/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>
      <c r="A959" s="1"/>
      <c r="B959" s="1"/>
      <c r="C959" s="1"/>
      <c r="D959" s="1"/>
      <c r="E959" s="1"/>
      <c r="F959" s="1"/>
      <c r="G959" s="1"/>
      <c r="H959" s="4"/>
      <c r="I959" s="7"/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>
      <c r="A960" s="1"/>
      <c r="B960" s="1"/>
      <c r="C960" s="1"/>
      <c r="D960" s="1"/>
      <c r="E960" s="1"/>
      <c r="F960" s="1"/>
      <c r="G960" s="1"/>
      <c r="H960" s="4"/>
      <c r="I960" s="7"/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>
      <c r="A961" s="1"/>
      <c r="B961" s="1"/>
      <c r="C961" s="1"/>
      <c r="D961" s="1"/>
      <c r="E961" s="1"/>
      <c r="F961" s="1"/>
      <c r="G961" s="1"/>
      <c r="H961" s="4"/>
      <c r="I961" s="7"/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>
      <c r="A962" s="1"/>
      <c r="B962" s="1"/>
      <c r="C962" s="1"/>
      <c r="D962" s="1"/>
      <c r="E962" s="1"/>
      <c r="F962" s="1"/>
      <c r="G962" s="1"/>
      <c r="H962" s="4"/>
      <c r="I962" s="7"/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>
      <c r="A963" s="1"/>
      <c r="B963" s="1"/>
      <c r="C963" s="1"/>
      <c r="D963" s="1"/>
      <c r="E963" s="1"/>
      <c r="F963" s="1"/>
      <c r="G963" s="1"/>
      <c r="H963" s="4"/>
      <c r="I963" s="7"/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>
      <c r="A964" s="1"/>
      <c r="B964" s="1"/>
      <c r="C964" s="1"/>
      <c r="D964" s="1"/>
      <c r="E964" s="1"/>
      <c r="F964" s="1"/>
      <c r="G964" s="1"/>
      <c r="H964" s="4"/>
      <c r="I964" s="7"/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>
      <c r="A965" s="1"/>
      <c r="B965" s="1"/>
      <c r="C965" s="1"/>
      <c r="D965" s="1"/>
      <c r="E965" s="1"/>
      <c r="F965" s="1"/>
      <c r="G965" s="1"/>
      <c r="H965" s="4"/>
      <c r="I965" s="7"/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>
      <c r="A966" s="1"/>
      <c r="B966" s="1"/>
      <c r="C966" s="1"/>
      <c r="D966" s="1"/>
      <c r="E966" s="1"/>
      <c r="F966" s="1"/>
      <c r="G966" s="1"/>
      <c r="H966" s="4"/>
      <c r="I966" s="7"/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>
      <c r="A967" s="1"/>
      <c r="B967" s="1"/>
      <c r="C967" s="1"/>
      <c r="D967" s="1"/>
      <c r="E967" s="1"/>
      <c r="F967" s="1"/>
      <c r="G967" s="1"/>
      <c r="H967" s="4"/>
      <c r="I967" s="7"/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>
      <c r="A968" s="1"/>
      <c r="B968" s="1"/>
      <c r="C968" s="1"/>
      <c r="D968" s="1"/>
      <c r="E968" s="1"/>
      <c r="F968" s="1"/>
      <c r="G968" s="1"/>
      <c r="H968" s="4"/>
      <c r="I968" s="7"/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>
      <c r="A969" s="1"/>
      <c r="B969" s="1"/>
      <c r="C969" s="1"/>
      <c r="D969" s="1"/>
      <c r="E969" s="1"/>
      <c r="F969" s="1"/>
      <c r="G969" s="1"/>
      <c r="H969" s="4"/>
      <c r="I969" s="7"/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>
      <c r="A970" s="1"/>
      <c r="B970" s="1"/>
      <c r="C970" s="1"/>
      <c r="D970" s="1"/>
      <c r="E970" s="1"/>
      <c r="F970" s="1"/>
      <c r="G970" s="1"/>
      <c r="H970" s="4"/>
      <c r="I970" s="7"/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>
      <c r="A971" s="1"/>
      <c r="B971" s="1"/>
      <c r="C971" s="1"/>
      <c r="D971" s="1"/>
      <c r="E971" s="1"/>
      <c r="F971" s="1"/>
      <c r="G971" s="1"/>
      <c r="H971" s="4"/>
      <c r="I971" s="7"/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>
      <c r="A972" s="1"/>
      <c r="B972" s="1"/>
      <c r="C972" s="1"/>
      <c r="D972" s="1"/>
      <c r="E972" s="1"/>
      <c r="F972" s="1"/>
      <c r="G972" s="1"/>
      <c r="H972" s="4"/>
      <c r="I972" s="7"/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>
      <c r="A973" s="1"/>
      <c r="B973" s="1"/>
      <c r="C973" s="1"/>
      <c r="D973" s="1"/>
      <c r="E973" s="1"/>
      <c r="F973" s="1"/>
      <c r="G973" s="1"/>
      <c r="H973" s="4"/>
      <c r="I973" s="7"/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>
      <c r="A974" s="1"/>
      <c r="B974" s="1"/>
      <c r="C974" s="1"/>
      <c r="D974" s="1"/>
      <c r="E974" s="1"/>
      <c r="F974" s="1"/>
      <c r="G974" s="1"/>
      <c r="H974" s="4"/>
      <c r="I974" s="7"/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>
      <c r="A975" s="1"/>
      <c r="B975" s="1"/>
      <c r="C975" s="1"/>
      <c r="D975" s="1"/>
      <c r="E975" s="1"/>
      <c r="F975" s="1"/>
      <c r="G975" s="1"/>
      <c r="H975" s="4"/>
      <c r="I975" s="7"/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>
      <c r="A976" s="1"/>
      <c r="B976" s="1"/>
      <c r="C976" s="1"/>
      <c r="D976" s="1"/>
      <c r="E976" s="1"/>
      <c r="F976" s="1"/>
      <c r="G976" s="1"/>
      <c r="H976" s="4"/>
      <c r="I976" s="7"/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>
      <c r="A977" s="1"/>
      <c r="B977" s="1"/>
      <c r="C977" s="1"/>
      <c r="D977" s="1"/>
      <c r="E977" s="1"/>
      <c r="F977" s="1"/>
      <c r="G977" s="1"/>
      <c r="H977" s="4"/>
      <c r="I977" s="7"/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</row>
  </sheetData>
  <mergeCells count="2">
    <mergeCell ref="H15:I15"/>
    <mergeCell ref="M23:N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D161-5873-41B6-9D24-540A9ED498D6}">
  <dimension ref="A1:I28"/>
  <sheetViews>
    <sheetView topLeftCell="A4" workbookViewId="0">
      <selection activeCell="A14" sqref="A14"/>
    </sheetView>
  </sheetViews>
  <sheetFormatPr defaultRowHeight="15"/>
  <cols>
    <col min="1" max="1" width="25.5703125" bestFit="1" customWidth="1"/>
    <col min="2" max="2" width="14.28515625" bestFit="1" customWidth="1"/>
    <col min="3" max="3" width="21.28515625" customWidth="1"/>
    <col min="4" max="4" width="23.7109375" bestFit="1" customWidth="1"/>
    <col min="5" max="5" width="26.28515625" style="17" bestFit="1" customWidth="1"/>
    <col min="6" max="6" width="22.85546875" customWidth="1"/>
    <col min="8" max="8" width="23.42578125" customWidth="1"/>
    <col min="9" max="9" width="18.7109375" customWidth="1"/>
  </cols>
  <sheetData>
    <row r="1" spans="1:9" ht="15.75">
      <c r="A1" s="1" t="s">
        <v>698</v>
      </c>
      <c r="B1" s="14">
        <v>5000000</v>
      </c>
      <c r="C1" s="4"/>
      <c r="D1" s="7"/>
      <c r="E1" s="16"/>
      <c r="F1" s="1"/>
    </row>
    <row r="2" spans="1:9" ht="15.75">
      <c r="A2" s="1" t="s">
        <v>699</v>
      </c>
      <c r="B2" s="14">
        <f>'Token Releasing Plan'!B1/B1</f>
        <v>200</v>
      </c>
      <c r="C2" s="4"/>
      <c r="D2" s="7"/>
      <c r="E2" s="16"/>
      <c r="F2" s="1"/>
    </row>
    <row r="3" spans="1:9" ht="15.75">
      <c r="A3" s="1"/>
      <c r="B3" s="14"/>
      <c r="C3" s="4"/>
      <c r="D3" s="7"/>
      <c r="E3" s="16"/>
      <c r="F3" s="1"/>
    </row>
    <row r="4" spans="1:9" ht="15.75">
      <c r="A4" s="30" t="s">
        <v>700</v>
      </c>
      <c r="B4" s="31" t="s">
        <v>701</v>
      </c>
      <c r="C4" s="31" t="s">
        <v>702</v>
      </c>
      <c r="D4" s="31" t="s">
        <v>703</v>
      </c>
      <c r="E4" s="32" t="s">
        <v>704</v>
      </c>
      <c r="F4" s="31" t="s">
        <v>705</v>
      </c>
    </row>
    <row r="5" spans="1:9" ht="15.75">
      <c r="A5" s="24" t="s">
        <v>706</v>
      </c>
      <c r="B5" s="24" t="s">
        <v>707</v>
      </c>
      <c r="C5" s="25">
        <v>141</v>
      </c>
      <c r="D5" s="26">
        <v>15600000</v>
      </c>
      <c r="E5" s="27">
        <v>1</v>
      </c>
      <c r="F5" s="26">
        <f>D5*E5</f>
        <v>15600000</v>
      </c>
    </row>
    <row r="6" spans="1:9" ht="15.75">
      <c r="A6" s="24"/>
      <c r="B6" s="24" t="s">
        <v>708</v>
      </c>
      <c r="C6" s="25">
        <v>216</v>
      </c>
      <c r="D6" s="26">
        <v>5600000</v>
      </c>
      <c r="E6" s="27">
        <v>3</v>
      </c>
      <c r="F6" s="26">
        <f>D6*E6</f>
        <v>16800000</v>
      </c>
    </row>
    <row r="7" spans="1:9" ht="15.75">
      <c r="A7" s="24"/>
      <c r="B7" s="24" t="s">
        <v>709</v>
      </c>
      <c r="C7" s="25">
        <v>1013</v>
      </c>
      <c r="D7" s="26">
        <v>1600000</v>
      </c>
      <c r="E7" s="27">
        <v>12</v>
      </c>
      <c r="F7" s="26">
        <f>D7*E7</f>
        <v>19200000</v>
      </c>
    </row>
    <row r="8" spans="1:9" ht="15.75">
      <c r="A8" s="24"/>
      <c r="B8" s="24" t="s">
        <v>710</v>
      </c>
      <c r="C8" s="25">
        <v>920</v>
      </c>
      <c r="D8" s="26">
        <v>600000</v>
      </c>
      <c r="E8" s="27">
        <v>36</v>
      </c>
      <c r="F8" s="26">
        <f>D8*E8</f>
        <v>21600000</v>
      </c>
    </row>
    <row r="9" spans="1:9" ht="15.75">
      <c r="A9" s="24" t="s">
        <v>711</v>
      </c>
      <c r="B9" s="24" t="s">
        <v>712</v>
      </c>
      <c r="C9" s="25">
        <v>89</v>
      </c>
      <c r="D9" s="26">
        <v>15000000</v>
      </c>
      <c r="E9" s="27">
        <v>2</v>
      </c>
      <c r="F9" s="26">
        <f>D9*E9</f>
        <v>30000000</v>
      </c>
    </row>
    <row r="10" spans="1:9" ht="15.75">
      <c r="A10" s="24"/>
      <c r="B10" s="24" t="s">
        <v>713</v>
      </c>
      <c r="C10" s="25">
        <v>74</v>
      </c>
      <c r="D10" s="26">
        <v>5000000</v>
      </c>
      <c r="E10" s="27">
        <v>8</v>
      </c>
      <c r="F10" s="26">
        <f>D10*E10</f>
        <v>40000000</v>
      </c>
    </row>
    <row r="11" spans="1:9" ht="15.75">
      <c r="A11" s="20"/>
      <c r="B11" s="24" t="s">
        <v>714</v>
      </c>
      <c r="C11" s="25">
        <v>1442</v>
      </c>
      <c r="D11" s="26">
        <v>1000000</v>
      </c>
      <c r="E11" s="27">
        <v>50</v>
      </c>
      <c r="F11" s="26">
        <f>D11*E11</f>
        <v>50000000</v>
      </c>
    </row>
    <row r="13" spans="1:9">
      <c r="A13" s="31" t="s">
        <v>715</v>
      </c>
      <c r="B13" s="31"/>
      <c r="C13" s="31"/>
      <c r="D13" s="31" t="s">
        <v>716</v>
      </c>
      <c r="E13" s="32" t="s">
        <v>717</v>
      </c>
      <c r="F13" s="31" t="s">
        <v>718</v>
      </c>
    </row>
    <row r="14" spans="1:9">
      <c r="A14" s="20" t="s">
        <v>719</v>
      </c>
      <c r="B14" s="20" t="s">
        <v>720</v>
      </c>
      <c r="C14" s="20" t="s">
        <v>721</v>
      </c>
      <c r="D14" s="28">
        <v>10000</v>
      </c>
      <c r="E14" s="28">
        <v>1</v>
      </c>
      <c r="F14" s="20"/>
    </row>
    <row r="15" spans="1:9" ht="15.75">
      <c r="A15" s="20" t="s">
        <v>722</v>
      </c>
      <c r="B15" s="20" t="s">
        <v>723</v>
      </c>
      <c r="C15" s="24" t="s">
        <v>724</v>
      </c>
      <c r="D15" s="28">
        <v>25000</v>
      </c>
      <c r="E15" s="28">
        <v>1.1000000000000001</v>
      </c>
      <c r="F15" s="20"/>
      <c r="I15" s="15"/>
    </row>
    <row r="16" spans="1:9">
      <c r="A16" s="20" t="s">
        <v>725</v>
      </c>
      <c r="B16" s="20" t="s">
        <v>726</v>
      </c>
      <c r="C16" s="20"/>
      <c r="D16" s="28">
        <v>50000</v>
      </c>
      <c r="E16" s="28">
        <v>1.2</v>
      </c>
      <c r="F16" s="20"/>
      <c r="I16" s="15"/>
    </row>
    <row r="17" spans="1:9" ht="15.75">
      <c r="A17" s="20" t="s">
        <v>727</v>
      </c>
      <c r="B17" s="20" t="s">
        <v>728</v>
      </c>
      <c r="C17" s="24" t="s">
        <v>729</v>
      </c>
      <c r="D17" s="28">
        <v>100000</v>
      </c>
      <c r="E17" s="28">
        <v>1.5</v>
      </c>
      <c r="F17" s="20"/>
      <c r="I17" s="15"/>
    </row>
    <row r="18" spans="1:9" ht="15.75">
      <c r="A18" s="20" t="s">
        <v>730</v>
      </c>
      <c r="B18" s="20" t="s">
        <v>731</v>
      </c>
      <c r="C18" s="24"/>
      <c r="D18" s="28">
        <v>250000</v>
      </c>
      <c r="E18" s="28">
        <v>2</v>
      </c>
      <c r="F18" s="20"/>
    </row>
    <row r="19" spans="1:9" ht="15.75">
      <c r="A19" s="20" t="s">
        <v>732</v>
      </c>
      <c r="B19" s="20" t="s">
        <v>733</v>
      </c>
      <c r="C19" s="24" t="s">
        <v>734</v>
      </c>
      <c r="D19" s="28">
        <v>500000</v>
      </c>
      <c r="E19" s="28">
        <v>2.5</v>
      </c>
      <c r="F19" s="20"/>
    </row>
    <row r="20" spans="1:9">
      <c r="A20" s="20" t="s">
        <v>735</v>
      </c>
      <c r="B20" s="20" t="s">
        <v>736</v>
      </c>
      <c r="C20" s="20" t="s">
        <v>707</v>
      </c>
      <c r="D20" s="28">
        <v>2500000</v>
      </c>
      <c r="E20" s="28">
        <v>3</v>
      </c>
      <c r="F20" s="20"/>
    </row>
    <row r="21" spans="1:9">
      <c r="A21" s="20" t="s">
        <v>737</v>
      </c>
      <c r="B21" s="20" t="s">
        <v>738</v>
      </c>
      <c r="D21" s="28">
        <v>5000000</v>
      </c>
      <c r="E21" s="28">
        <v>5</v>
      </c>
      <c r="F21" s="20"/>
    </row>
    <row r="22" spans="1:9">
      <c r="A22" s="20" t="s">
        <v>739</v>
      </c>
      <c r="B22" s="20" t="s">
        <v>740</v>
      </c>
      <c r="C22" s="20"/>
      <c r="D22" s="28">
        <v>25000000</v>
      </c>
      <c r="E22" s="28">
        <v>10</v>
      </c>
      <c r="F22" s="20"/>
    </row>
    <row r="23" spans="1:9">
      <c r="A23" s="20" t="s">
        <v>741</v>
      </c>
      <c r="B23" s="20" t="s">
        <v>742</v>
      </c>
      <c r="C23" s="20"/>
      <c r="D23" s="29" t="s">
        <v>743</v>
      </c>
      <c r="E23" s="28">
        <v>25</v>
      </c>
      <c r="F23" s="20"/>
    </row>
    <row r="26" spans="1:9">
      <c r="D26" s="15"/>
    </row>
    <row r="27" spans="1:9">
      <c r="D27" s="15"/>
    </row>
    <row r="28" spans="1:9">
      <c r="D2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82F7-9B1C-4809-B35F-E9B71A832A28}">
  <dimension ref="A1:I18"/>
  <sheetViews>
    <sheetView workbookViewId="0">
      <selection activeCell="I18" sqref="I18"/>
    </sheetView>
  </sheetViews>
  <sheetFormatPr defaultRowHeight="15"/>
  <cols>
    <col min="1" max="1" width="17.85546875" customWidth="1"/>
    <col min="2" max="2" width="14.28515625" customWidth="1"/>
    <col min="3" max="3" width="15.42578125" customWidth="1"/>
    <col min="4" max="4" width="17.5703125" customWidth="1"/>
    <col min="5" max="5" width="16.5703125" customWidth="1"/>
    <col min="6" max="6" width="19.28515625" customWidth="1"/>
    <col min="7" max="7" width="19.85546875" customWidth="1"/>
    <col min="8" max="8" width="19" customWidth="1"/>
    <col min="9" max="9" width="30.140625" customWidth="1"/>
  </cols>
  <sheetData>
    <row r="1" spans="1:9">
      <c r="A1" s="19" t="s">
        <v>744</v>
      </c>
      <c r="B1" s="19" t="s">
        <v>745</v>
      </c>
      <c r="C1" s="19" t="s">
        <v>746</v>
      </c>
      <c r="D1" s="19" t="s">
        <v>747</v>
      </c>
      <c r="E1" s="19" t="s">
        <v>748</v>
      </c>
      <c r="F1" s="19" t="s">
        <v>749</v>
      </c>
      <c r="G1" s="19" t="s">
        <v>750</v>
      </c>
      <c r="H1" s="19" t="s">
        <v>751</v>
      </c>
      <c r="I1" s="19" t="s">
        <v>752</v>
      </c>
    </row>
    <row r="2" spans="1:9">
      <c r="A2" s="20" t="s">
        <v>753</v>
      </c>
      <c r="B2" s="40" t="s">
        <v>754</v>
      </c>
      <c r="C2" s="40"/>
      <c r="D2" s="40"/>
      <c r="E2" s="40"/>
      <c r="F2" s="20"/>
      <c r="G2" s="20"/>
      <c r="H2" s="20"/>
      <c r="I2" s="20"/>
    </row>
    <row r="3" spans="1:9">
      <c r="A3" s="20" t="s">
        <v>755</v>
      </c>
      <c r="B3" s="20"/>
      <c r="C3" s="20"/>
      <c r="D3" s="20"/>
      <c r="E3" s="37" t="s">
        <v>756</v>
      </c>
      <c r="F3" s="37"/>
      <c r="G3" s="20"/>
      <c r="H3" s="20"/>
      <c r="I3" s="21" t="s">
        <v>757</v>
      </c>
    </row>
    <row r="4" spans="1:9">
      <c r="A4" s="20" t="s">
        <v>758</v>
      </c>
      <c r="B4" s="20"/>
      <c r="C4" s="20"/>
      <c r="D4" s="20"/>
      <c r="E4" s="20"/>
      <c r="F4" s="39" t="s">
        <v>759</v>
      </c>
      <c r="G4" s="39"/>
      <c r="H4" s="39"/>
      <c r="I4" s="20"/>
    </row>
    <row r="5" spans="1:9">
      <c r="A5" s="20" t="s">
        <v>760</v>
      </c>
      <c r="B5" s="37" t="s">
        <v>761</v>
      </c>
      <c r="C5" s="37"/>
      <c r="D5" s="37"/>
      <c r="E5" s="37"/>
      <c r="F5" s="20"/>
      <c r="G5" s="20"/>
      <c r="H5" s="20"/>
      <c r="I5" s="22" t="s">
        <v>762</v>
      </c>
    </row>
    <row r="6" spans="1:9">
      <c r="A6" s="20"/>
      <c r="B6" s="20"/>
      <c r="C6" s="20" t="s">
        <v>763</v>
      </c>
      <c r="D6" s="20"/>
      <c r="E6" s="20"/>
      <c r="F6" s="20"/>
      <c r="G6" s="20"/>
      <c r="H6" s="20"/>
      <c r="I6" s="20"/>
    </row>
    <row r="7" spans="1:9">
      <c r="A7" s="20"/>
      <c r="B7" s="20"/>
      <c r="C7" s="20" t="s">
        <v>755</v>
      </c>
      <c r="D7" s="20"/>
      <c r="E7" s="20"/>
      <c r="F7" s="20"/>
      <c r="G7" s="20"/>
      <c r="H7" s="20"/>
      <c r="I7" s="20"/>
    </row>
    <row r="8" spans="1:9">
      <c r="A8" s="20"/>
      <c r="B8" s="20"/>
      <c r="C8" s="20" t="s">
        <v>764</v>
      </c>
      <c r="D8" s="20"/>
      <c r="E8" s="20"/>
      <c r="F8" s="20"/>
      <c r="G8" s="20"/>
      <c r="H8" s="20"/>
      <c r="I8" s="20"/>
    </row>
    <row r="9" spans="1:9">
      <c r="A9" s="20"/>
      <c r="B9" s="20"/>
      <c r="C9" s="20" t="s">
        <v>765</v>
      </c>
      <c r="D9" s="20"/>
      <c r="E9" s="20"/>
      <c r="F9" s="20"/>
      <c r="G9" s="20"/>
      <c r="H9" s="20"/>
      <c r="I9" s="20"/>
    </row>
    <row r="10" spans="1:9">
      <c r="A10" s="20"/>
      <c r="B10" s="37" t="s">
        <v>766</v>
      </c>
      <c r="C10" s="37"/>
      <c r="D10" s="37"/>
      <c r="E10" s="37"/>
      <c r="F10" s="20"/>
      <c r="G10" s="20"/>
      <c r="H10" s="20"/>
      <c r="I10" s="20"/>
    </row>
    <row r="11" spans="1:9">
      <c r="A11" s="20"/>
      <c r="B11" s="20"/>
      <c r="C11" s="20" t="s">
        <v>767</v>
      </c>
      <c r="D11" s="20"/>
      <c r="E11" s="20"/>
      <c r="F11" s="20"/>
      <c r="G11" s="20"/>
      <c r="H11" s="20"/>
      <c r="I11" s="20"/>
    </row>
    <row r="12" spans="1:9">
      <c r="A12" s="20"/>
      <c r="B12" s="20"/>
      <c r="C12" s="20" t="s">
        <v>768</v>
      </c>
      <c r="D12" s="20"/>
      <c r="E12" s="20"/>
      <c r="F12" s="20"/>
      <c r="G12" s="20"/>
      <c r="H12" s="20"/>
      <c r="I12" s="20"/>
    </row>
    <row r="13" spans="1:9">
      <c r="A13" s="20"/>
      <c r="B13" s="20"/>
      <c r="C13" s="20" t="s">
        <v>769</v>
      </c>
      <c r="D13" s="20"/>
      <c r="E13" s="20"/>
      <c r="F13" s="20"/>
      <c r="G13" s="20"/>
      <c r="H13" s="20"/>
      <c r="I13" s="20"/>
    </row>
    <row r="14" spans="1:9">
      <c r="A14" s="20"/>
      <c r="B14" s="37" t="s">
        <v>770</v>
      </c>
      <c r="C14" s="37"/>
      <c r="D14" s="37"/>
      <c r="E14" s="37"/>
      <c r="F14" s="20"/>
      <c r="G14" s="20"/>
      <c r="H14" s="20"/>
      <c r="I14" s="20"/>
    </row>
    <row r="15" spans="1:9">
      <c r="A15" s="20"/>
      <c r="B15" s="20"/>
      <c r="C15" s="20" t="s">
        <v>771</v>
      </c>
      <c r="D15" s="20"/>
      <c r="E15" s="20"/>
      <c r="F15" s="20"/>
      <c r="G15" s="20"/>
      <c r="H15" s="20"/>
      <c r="I15" s="20"/>
    </row>
    <row r="16" spans="1:9">
      <c r="A16" s="20"/>
      <c r="B16" s="20"/>
      <c r="C16" s="20" t="s">
        <v>772</v>
      </c>
      <c r="D16" s="20"/>
      <c r="E16" s="20"/>
      <c r="F16" s="20"/>
      <c r="G16" s="20"/>
      <c r="H16" s="20"/>
      <c r="I16" s="20"/>
    </row>
    <row r="17" spans="1:9">
      <c r="A17" s="23"/>
      <c r="B17" s="38" t="s">
        <v>773</v>
      </c>
      <c r="C17" s="38"/>
      <c r="D17" s="38"/>
      <c r="E17" s="38"/>
      <c r="F17" s="23"/>
      <c r="G17" s="23"/>
      <c r="H17" s="23"/>
      <c r="I17" s="23"/>
    </row>
    <row r="18" spans="1:9">
      <c r="A18" s="20"/>
      <c r="B18" s="20"/>
      <c r="C18" s="20" t="s">
        <v>774</v>
      </c>
      <c r="D18" s="20"/>
      <c r="E18" s="20"/>
      <c r="F18" s="20"/>
      <c r="G18" s="20"/>
      <c r="H18" s="20"/>
      <c r="I18" s="20"/>
    </row>
  </sheetData>
  <mergeCells count="7">
    <mergeCell ref="B14:E14"/>
    <mergeCell ref="B17:E17"/>
    <mergeCell ref="E3:F3"/>
    <mergeCell ref="F4:H4"/>
    <mergeCell ref="B2:E2"/>
    <mergeCell ref="B5:E5"/>
    <mergeCell ref="B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3987-9F65-4073-B51F-B946CAA62B8D}">
  <dimension ref="A1:D49"/>
  <sheetViews>
    <sheetView topLeftCell="A30" workbookViewId="0">
      <selection activeCell="C48" sqref="C48"/>
    </sheetView>
  </sheetViews>
  <sheetFormatPr defaultRowHeight="15"/>
  <cols>
    <col min="1" max="1" width="18.140625" bestFit="1" customWidth="1"/>
    <col min="2" max="2" width="26.85546875" customWidth="1"/>
    <col min="3" max="3" width="30.140625" customWidth="1"/>
    <col min="4" max="4" width="17.5703125" customWidth="1"/>
  </cols>
  <sheetData>
    <row r="1" spans="1:4">
      <c r="A1" s="34" t="s">
        <v>775</v>
      </c>
      <c r="B1" s="34" t="s">
        <v>776</v>
      </c>
      <c r="C1" s="34" t="s">
        <v>777</v>
      </c>
      <c r="D1" s="34" t="s">
        <v>778</v>
      </c>
    </row>
    <row r="2" spans="1:4">
      <c r="A2" s="20" t="s">
        <v>779</v>
      </c>
      <c r="B2" s="20" t="s">
        <v>780</v>
      </c>
      <c r="C2" s="20" t="s">
        <v>781</v>
      </c>
      <c r="D2" s="20"/>
    </row>
    <row r="3" spans="1:4">
      <c r="A3" s="20"/>
      <c r="B3" s="20"/>
      <c r="C3" s="20" t="s">
        <v>782</v>
      </c>
      <c r="D3" s="20"/>
    </row>
    <row r="4" spans="1:4">
      <c r="A4" s="20"/>
      <c r="B4" s="20"/>
      <c r="C4" s="20" t="s">
        <v>783</v>
      </c>
      <c r="D4" s="20"/>
    </row>
    <row r="5" spans="1:4">
      <c r="A5" s="35"/>
      <c r="B5" s="35"/>
      <c r="C5" s="35"/>
      <c r="D5" s="35"/>
    </row>
    <row r="6" spans="1:4">
      <c r="A6" s="20" t="s">
        <v>784</v>
      </c>
      <c r="B6" s="20" t="s">
        <v>785</v>
      </c>
      <c r="C6" s="20" t="s">
        <v>786</v>
      </c>
      <c r="D6" s="20"/>
    </row>
    <row r="7" spans="1:4">
      <c r="A7" s="20"/>
      <c r="B7" s="20"/>
      <c r="C7" s="20" t="s">
        <v>787</v>
      </c>
      <c r="D7" s="20"/>
    </row>
    <row r="8" spans="1:4">
      <c r="A8" s="20"/>
      <c r="B8" s="20"/>
      <c r="C8" s="20" t="s">
        <v>788</v>
      </c>
      <c r="D8" s="20"/>
    </row>
    <row r="9" spans="1:4">
      <c r="A9" s="20"/>
      <c r="B9" s="20"/>
      <c r="C9" s="20" t="s">
        <v>789</v>
      </c>
      <c r="D9" s="20"/>
    </row>
    <row r="10" spans="1:4">
      <c r="A10" s="20"/>
      <c r="B10" s="20"/>
      <c r="C10" s="20"/>
      <c r="D10" s="20"/>
    </row>
    <row r="11" spans="1:4">
      <c r="A11" s="20" t="s">
        <v>790</v>
      </c>
      <c r="B11" s="20" t="s">
        <v>791</v>
      </c>
      <c r="C11" s="20" t="s">
        <v>792</v>
      </c>
      <c r="D11" s="20"/>
    </row>
    <row r="12" spans="1:4">
      <c r="A12" s="20"/>
      <c r="B12" s="20"/>
      <c r="C12" s="20" t="s">
        <v>793</v>
      </c>
      <c r="D12" s="20"/>
    </row>
    <row r="13" spans="1:4">
      <c r="A13" s="20"/>
      <c r="B13" s="20"/>
      <c r="C13" s="20" t="s">
        <v>794</v>
      </c>
      <c r="D13" s="20"/>
    </row>
    <row r="14" spans="1:4">
      <c r="A14" s="20"/>
      <c r="B14" s="20"/>
      <c r="C14" s="20"/>
      <c r="D14" s="20"/>
    </row>
    <row r="15" spans="1:4">
      <c r="A15" s="20" t="s">
        <v>755</v>
      </c>
      <c r="B15" s="20" t="s">
        <v>795</v>
      </c>
      <c r="C15" s="20" t="s">
        <v>719</v>
      </c>
      <c r="D15" s="20"/>
    </row>
    <row r="16" spans="1:4">
      <c r="A16" s="20"/>
      <c r="B16" s="20"/>
      <c r="C16" s="20" t="s">
        <v>722</v>
      </c>
      <c r="D16" s="20"/>
    </row>
    <row r="17" spans="1:4">
      <c r="A17" s="20"/>
      <c r="B17" s="20"/>
      <c r="C17" s="20" t="s">
        <v>725</v>
      </c>
      <c r="D17" s="20"/>
    </row>
    <row r="18" spans="1:4">
      <c r="A18" s="20"/>
      <c r="B18" s="20"/>
      <c r="C18" s="20" t="s">
        <v>727</v>
      </c>
      <c r="D18" s="20"/>
    </row>
    <row r="19" spans="1:4">
      <c r="A19" s="20"/>
      <c r="B19" s="20"/>
      <c r="C19" s="20" t="s">
        <v>730</v>
      </c>
      <c r="D19" s="20"/>
    </row>
    <row r="20" spans="1:4">
      <c r="A20" s="20"/>
      <c r="B20" s="20"/>
      <c r="C20" s="20" t="s">
        <v>732</v>
      </c>
      <c r="D20" s="20"/>
    </row>
    <row r="21" spans="1:4">
      <c r="A21" s="20"/>
      <c r="B21" s="20"/>
      <c r="C21" s="20" t="s">
        <v>735</v>
      </c>
      <c r="D21" s="20"/>
    </row>
    <row r="22" spans="1:4">
      <c r="A22" s="20"/>
      <c r="B22" s="20"/>
      <c r="C22" s="20" t="s">
        <v>737</v>
      </c>
      <c r="D22" s="20"/>
    </row>
    <row r="23" spans="1:4">
      <c r="A23" s="20"/>
      <c r="B23" s="20"/>
      <c r="C23" s="20" t="s">
        <v>739</v>
      </c>
      <c r="D23" s="20"/>
    </row>
    <row r="24" spans="1:4">
      <c r="A24" s="20"/>
      <c r="B24" s="20"/>
      <c r="C24" s="20" t="s">
        <v>741</v>
      </c>
      <c r="D24" s="20"/>
    </row>
    <row r="25" spans="1:4">
      <c r="A25" s="20"/>
      <c r="B25" s="20"/>
      <c r="C25" s="20"/>
      <c r="D25" s="20"/>
    </row>
    <row r="26" spans="1:4">
      <c r="A26" s="20"/>
      <c r="B26" s="20" t="s">
        <v>796</v>
      </c>
      <c r="C26" s="20" t="s">
        <v>797</v>
      </c>
      <c r="D26" s="20"/>
    </row>
    <row r="27" spans="1:4">
      <c r="A27" s="20"/>
      <c r="B27" s="20"/>
      <c r="C27" s="20" t="s">
        <v>798</v>
      </c>
      <c r="D27" s="20"/>
    </row>
    <row r="28" spans="1:4">
      <c r="A28" s="20"/>
      <c r="B28" s="20"/>
      <c r="C28" s="20" t="s">
        <v>799</v>
      </c>
      <c r="D28" s="20"/>
    </row>
    <row r="29" spans="1:4">
      <c r="A29" s="20"/>
      <c r="B29" s="20"/>
      <c r="C29" s="20" t="s">
        <v>800</v>
      </c>
      <c r="D29" s="20"/>
    </row>
    <row r="30" spans="1:4">
      <c r="A30" s="20"/>
      <c r="B30" s="20"/>
      <c r="C30" s="20" t="s">
        <v>801</v>
      </c>
      <c r="D30" s="20"/>
    </row>
    <row r="31" spans="1:4">
      <c r="A31" s="20"/>
      <c r="B31" s="20"/>
      <c r="C31" s="20"/>
      <c r="D31" s="20"/>
    </row>
    <row r="32" spans="1:4">
      <c r="A32" s="20" t="s">
        <v>802</v>
      </c>
      <c r="B32" s="20" t="s">
        <v>803</v>
      </c>
      <c r="C32" s="20" t="s">
        <v>804</v>
      </c>
      <c r="D32" s="20"/>
    </row>
    <row r="33" spans="1:4">
      <c r="A33" s="20"/>
      <c r="B33" s="20"/>
      <c r="C33" s="20" t="s">
        <v>805</v>
      </c>
      <c r="D33" s="20"/>
    </row>
    <row r="34" spans="1:4">
      <c r="A34" s="20"/>
      <c r="B34" s="20"/>
      <c r="C34" s="20" t="s">
        <v>806</v>
      </c>
      <c r="D34" s="20"/>
    </row>
    <row r="35" spans="1:4">
      <c r="A35" s="20"/>
      <c r="B35" s="20"/>
      <c r="C35" s="20" t="s">
        <v>807</v>
      </c>
      <c r="D35" s="20"/>
    </row>
    <row r="36" spans="1:4">
      <c r="A36" s="20"/>
      <c r="B36" s="20"/>
      <c r="C36" s="20" t="s">
        <v>808</v>
      </c>
      <c r="D36" s="20"/>
    </row>
    <row r="37" spans="1:4">
      <c r="A37" s="20"/>
      <c r="B37" s="20"/>
      <c r="C37" s="20"/>
      <c r="D37" s="20"/>
    </row>
    <row r="38" spans="1:4">
      <c r="A38" s="20"/>
      <c r="B38" s="20" t="s">
        <v>809</v>
      </c>
      <c r="C38" s="20" t="s">
        <v>810</v>
      </c>
      <c r="D38" s="20"/>
    </row>
    <row r="39" spans="1:4">
      <c r="A39" s="20"/>
      <c r="B39" s="20"/>
      <c r="C39" s="20" t="s">
        <v>811</v>
      </c>
      <c r="D39" s="20"/>
    </row>
    <row r="40" spans="1:4">
      <c r="A40" s="20"/>
      <c r="B40" s="20"/>
      <c r="C40" s="20" t="s">
        <v>812</v>
      </c>
      <c r="D40" s="20"/>
    </row>
    <row r="41" spans="1:4">
      <c r="A41" s="20"/>
      <c r="B41" s="20"/>
      <c r="C41" s="20" t="s">
        <v>813</v>
      </c>
      <c r="D41" s="20"/>
    </row>
    <row r="42" spans="1:4">
      <c r="A42" s="20"/>
      <c r="B42" s="20"/>
      <c r="C42" s="20" t="s">
        <v>814</v>
      </c>
      <c r="D42" s="20"/>
    </row>
    <row r="43" spans="1:4">
      <c r="A43" s="20"/>
      <c r="B43" s="20"/>
      <c r="C43" s="20" t="s">
        <v>815</v>
      </c>
      <c r="D43" s="20"/>
    </row>
    <row r="44" spans="1:4">
      <c r="A44" s="20"/>
      <c r="B44" s="20"/>
      <c r="C44" s="20" t="s">
        <v>791</v>
      </c>
      <c r="D44" s="20"/>
    </row>
    <row r="45" spans="1:4">
      <c r="A45" s="20"/>
      <c r="B45" s="20"/>
      <c r="C45" s="20" t="s">
        <v>816</v>
      </c>
      <c r="D45" s="20"/>
    </row>
    <row r="46" spans="1:4">
      <c r="A46" s="20"/>
      <c r="B46" s="20"/>
      <c r="C46" s="20" t="s">
        <v>817</v>
      </c>
      <c r="D46" s="20"/>
    </row>
    <row r="47" spans="1:4">
      <c r="A47" s="20"/>
      <c r="B47" s="20"/>
      <c r="C47" s="20" t="s">
        <v>818</v>
      </c>
      <c r="D47" s="20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0 xmlns="cc3114be-975f-4703-932a-0c52615e3c25" xsi:nil="true"/>
    <MigrationWizIdVersion xmlns="cc3114be-975f-4703-932a-0c52615e3c25">ce7aeb23-e9c5-48cc-a47c-eb3b5a02b1e1-638384887580000000</MigrationWizIdVersion>
    <MigrationWizId xmlns="cc3114be-975f-4703-932a-0c52615e3c25">ce7aeb23-e9c5-48cc-a47c-eb3b5a02b1e1</MigrationWizId>
    <MigrationWizIdPermissions xmlns="cc3114be-975f-4703-932a-0c52615e3c25">ce7aeb23-e9c5-48cc-a47c-eb3b5a02b1e1</MigrationWizIdPermissions>
    <SharedWithUsers xmlns="eda5d1e1-7c82-4a4e-8275-74088932e439">
      <UserInfo>
        <DisplayName>Erik Nucibella</DisplayName>
        <AccountId>29</AccountId>
        <AccountType/>
      </UserInfo>
      <UserInfo>
        <DisplayName>Dan Rusnac</DisplayName>
        <AccountId>28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82B56ED774046A6B63AD8F4B6EC45" ma:contentTypeVersion="15" ma:contentTypeDescription="Creare un nuovo documento." ma:contentTypeScope="" ma:versionID="739b4ffbf11f38a03617ba01e51a51a1">
  <xsd:schema xmlns:xsd="http://www.w3.org/2001/XMLSchema" xmlns:xs="http://www.w3.org/2001/XMLSchema" xmlns:p="http://schemas.microsoft.com/office/2006/metadata/properties" xmlns:ns2="cc3114be-975f-4703-932a-0c52615e3c25" xmlns:ns3="eda5d1e1-7c82-4a4e-8275-74088932e439" targetNamespace="http://schemas.microsoft.com/office/2006/metadata/properties" ma:root="true" ma:fieldsID="2fe5feab4db084c7453c35bf02a544eb" ns2:_="" ns3:_="">
    <xsd:import namespace="cc3114be-975f-4703-932a-0c52615e3c25"/>
    <xsd:import namespace="eda5d1e1-7c82-4a4e-8275-74088932e439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114be-975f-4703-932a-0c52615e3c2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5d1e1-7c82-4a4e-8275-74088932e439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363A6F-4AEE-4C2A-BA9D-F1C6EA552F94}"/>
</file>

<file path=customXml/itemProps2.xml><?xml version="1.0" encoding="utf-8"?>
<ds:datastoreItem xmlns:ds="http://schemas.openxmlformats.org/officeDocument/2006/customXml" ds:itemID="{6EB250D0-496C-4E10-91F2-2979D22DB61C}"/>
</file>

<file path=customXml/itemProps3.xml><?xml version="1.0" encoding="utf-8"?>
<ds:datastoreItem xmlns:ds="http://schemas.openxmlformats.org/officeDocument/2006/customXml" ds:itemID="{CF681F4C-589D-4615-920F-D8E914DDA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2023-10-01T21:02:48Z</dcterms:created>
  <dcterms:modified xsi:type="dcterms:W3CDTF">2024-02-05T14:16:17Z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0x01010051382B56ED774046A6B63AD8F4B6EC45</vt:lpwstr>
  </property>
  <property fmtid="{D5CDD505-2E9C-101B-9397-08002B2CF9AE}" pid="3" name="MediaServiceImageTags">
    <vt:lpwstr/>
  </property>
</Properties>
</file>